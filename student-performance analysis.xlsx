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95a2018246ced4d0/Documents/"/>
    </mc:Choice>
  </mc:AlternateContent>
  <xr:revisionPtr revIDLastSave="329" documentId="8_{AF8A6EE2-8544-4E81-8F4A-0BC98BF19E30}" xr6:coauthVersionLast="47" xr6:coauthVersionMax="47" xr10:uidLastSave="{BCDAF2E1-A28E-4F30-A0B6-F58F95011714}"/>
  <bookViews>
    <workbookView xWindow="-108" yWindow="-108" windowWidth="23256" windowHeight="12456" activeTab="1" xr2:uid="{671EB734-89FA-40BD-ACE7-B95EAFD2C6F0}"/>
  </bookViews>
  <sheets>
    <sheet name="Sheet2" sheetId="2" r:id="rId1"/>
    <sheet name="dashboard" sheetId="3" r:id="rId2"/>
    <sheet name="Sheet4" sheetId="4" r:id="rId3"/>
    <sheet name="Sheet5" sheetId="5" r:id="rId4"/>
    <sheet name="Sheet1" sheetId="1" r:id="rId5"/>
  </sheets>
  <definedNames>
    <definedName name="Slicer_Branch">#N/A</definedName>
    <definedName name="Slicer_Gender">#N/A</definedName>
    <definedName name="Slicer_Semest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3" l="1"/>
  <c r="J4" i="3"/>
  <c r="F4" i="3"/>
  <c r="B4" i="3"/>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2" i="1"/>
</calcChain>
</file>

<file path=xl/sharedStrings.xml><?xml version="1.0" encoding="utf-8"?>
<sst xmlns="http://schemas.openxmlformats.org/spreadsheetml/2006/main" count="215" uniqueCount="48">
  <si>
    <t>Student_ID</t>
  </si>
  <si>
    <t>Name</t>
  </si>
  <si>
    <t>Gender</t>
  </si>
  <si>
    <t>Branch</t>
  </si>
  <si>
    <t>Semester</t>
  </si>
  <si>
    <t>Subject</t>
  </si>
  <si>
    <t>Internal</t>
  </si>
  <si>
    <t>External</t>
  </si>
  <si>
    <t>Attendance</t>
  </si>
  <si>
    <t>Study_Hours</t>
  </si>
  <si>
    <t>Assignments</t>
  </si>
  <si>
    <t>Placement</t>
  </si>
  <si>
    <t>Aisha</t>
  </si>
  <si>
    <t>F</t>
  </si>
  <si>
    <t>AI&amp;DS</t>
  </si>
  <si>
    <t>Python</t>
  </si>
  <si>
    <t>Yes</t>
  </si>
  <si>
    <t>Excel</t>
  </si>
  <si>
    <t>SQL</t>
  </si>
  <si>
    <t>Rahul</t>
  </si>
  <si>
    <t>M</t>
  </si>
  <si>
    <t>No</t>
  </si>
  <si>
    <t>Sneha</t>
  </si>
  <si>
    <t>CSE</t>
  </si>
  <si>
    <t>Arjun</t>
  </si>
  <si>
    <t>Meera</t>
  </si>
  <si>
    <t>IT</t>
  </si>
  <si>
    <t>Karan</t>
  </si>
  <si>
    <t>Riya</t>
  </si>
  <si>
    <t>Statistics</t>
  </si>
  <si>
    <t>Aman</t>
  </si>
  <si>
    <t>Kavya</t>
  </si>
  <si>
    <t>Rohit</t>
  </si>
  <si>
    <t>ECE</t>
  </si>
  <si>
    <t>Simran</t>
  </si>
  <si>
    <t>Percentage</t>
  </si>
  <si>
    <t>Grade</t>
  </si>
  <si>
    <t>Total marks</t>
  </si>
  <si>
    <t>Row Labels</t>
  </si>
  <si>
    <t>Grand Total</t>
  </si>
  <si>
    <t>Average of Percentage</t>
  </si>
  <si>
    <t>STUDENT PERFORMANCE ANALYSIS DASHBOARD</t>
  </si>
  <si>
    <t>Created by Anam Maria | BTech AI &amp; DS</t>
  </si>
  <si>
    <t>Overall Average %</t>
  </si>
  <si>
    <t>Highest %</t>
  </si>
  <si>
    <t>Total Students</t>
  </si>
  <si>
    <t>Sum of Student_ID</t>
  </si>
  <si>
    <t>Pass Percentage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</si>
</sst>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4"/>
      <color theme="1"/>
      <name val="Aptos Narrow"/>
      <family val="2"/>
      <scheme val="minor"/>
    </font>
    <font>
      <sz val="14"/>
      <color theme="1"/>
      <name val="Aptos Narrow"/>
      <family val="2"/>
      <scheme val="minor"/>
    </font>
    <font>
      <sz val="20"/>
      <color theme="1"/>
      <name val="Arial Black"/>
      <family val="2"/>
    </font>
    <font>
      <sz val="11"/>
      <color theme="1"/>
      <name val="Arial Black"/>
      <family val="2"/>
    </font>
    <font>
      <b/>
      <i/>
      <sz val="14"/>
      <color theme="1"/>
      <name val="Aptos Narrow"/>
      <family val="2"/>
      <scheme val="minor"/>
    </font>
    <font>
      <b/>
      <i/>
      <sz val="11"/>
      <color theme="1"/>
      <name val="Aptos Narrow"/>
      <family val="2"/>
      <scheme val="minor"/>
    </font>
    <font>
      <b/>
      <sz val="16"/>
      <color theme="1"/>
      <name val="Aptos Narrow"/>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xf>
    <xf numFmtId="0" fontId="0" fillId="0" borderId="0" xfId="0" pivotButton="1"/>
    <xf numFmtId="0" fontId="0" fillId="0" borderId="0" xfId="0" applyAlignment="1">
      <alignment horizontal="left"/>
    </xf>
    <xf numFmtId="0" fontId="2" fillId="0" borderId="0" xfId="0" pivotButton="1" applyFont="1"/>
    <xf numFmtId="0" fontId="2" fillId="0" borderId="0" xfId="0" applyFont="1"/>
    <xf numFmtId="0" fontId="2" fillId="0" borderId="0" xfId="0" applyFont="1" applyAlignment="1">
      <alignment horizontal="left"/>
    </xf>
    <xf numFmtId="0" fontId="3" fillId="0" borderId="0" xfId="0" applyFont="1"/>
    <xf numFmtId="0" fontId="4" fillId="0" borderId="0" xfId="0" applyFont="1"/>
    <xf numFmtId="0" fontId="5" fillId="0" borderId="0" xfId="0" applyFont="1"/>
    <xf numFmtId="0" fontId="6" fillId="0" borderId="0" xfId="0" applyFont="1"/>
    <xf numFmtId="0" fontId="7" fillId="2" borderId="0" xfId="0" applyFont="1" applyFill="1" applyAlignment="1">
      <alignment horizontal="center"/>
    </xf>
    <xf numFmtId="0" fontId="0" fillId="2" borderId="0" xfId="0" applyFill="1"/>
  </cellXfs>
  <cellStyles count="1">
    <cellStyle name="Normal" xfId="0" builtinId="0"/>
  </cellStyles>
  <dxfs count="24">
    <dxf>
      <font>
        <color rgb="FF9C0006"/>
      </font>
      <fill>
        <patternFill>
          <bgColor rgb="FFFFC7CE"/>
        </patternFill>
      </fill>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sz val="14"/>
      </font>
    </dxf>
    <dxf>
      <font>
        <sz val="14"/>
      </font>
    </dxf>
    <dxf>
      <font>
        <sz val="14"/>
      </font>
    </dxf>
    <dxf>
      <font>
        <sz val="14"/>
      </font>
    </dxf>
    <dxf>
      <font>
        <sz val="14"/>
      </font>
    </dxf>
    <dxf>
      <font>
        <sz val="1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 analysis.xlsx]Sheet2!PivotTable5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96981627296587"/>
          <c:y val="0.28541229221347331"/>
          <c:w val="0.76966426071741034"/>
          <c:h val="0.53811424613589964"/>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Excel</c:v>
                </c:pt>
                <c:pt idx="1">
                  <c:v>Python</c:v>
                </c:pt>
                <c:pt idx="2">
                  <c:v>SQL</c:v>
                </c:pt>
                <c:pt idx="3">
                  <c:v>Statistics</c:v>
                </c:pt>
              </c:strCache>
            </c:strRef>
          </c:cat>
          <c:val>
            <c:numRef>
              <c:f>Sheet2!$B$4:$B$8</c:f>
              <c:numCache>
                <c:formatCode>General</c:formatCode>
                <c:ptCount val="4"/>
                <c:pt idx="0">
                  <c:v>96</c:v>
                </c:pt>
                <c:pt idx="1">
                  <c:v>96</c:v>
                </c:pt>
                <c:pt idx="2">
                  <c:v>96</c:v>
                </c:pt>
                <c:pt idx="3">
                  <c:v>96</c:v>
                </c:pt>
              </c:numCache>
            </c:numRef>
          </c:val>
          <c:extLst>
            <c:ext xmlns:c16="http://schemas.microsoft.com/office/drawing/2014/chart" uri="{C3380CC4-5D6E-409C-BE32-E72D297353CC}">
              <c16:uniqueId val="{00000000-D0D8-43D7-92CB-0FB29F438783}"/>
            </c:ext>
          </c:extLst>
        </c:ser>
        <c:dLbls>
          <c:showLegendKey val="0"/>
          <c:showVal val="0"/>
          <c:showCatName val="0"/>
          <c:showSerName val="0"/>
          <c:showPercent val="0"/>
          <c:showBubbleSize val="0"/>
        </c:dLbls>
        <c:gapWidth val="219"/>
        <c:overlap val="-27"/>
        <c:axId val="1828805519"/>
        <c:axId val="1828805999"/>
      </c:barChart>
      <c:catAx>
        <c:axId val="182880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805999"/>
        <c:crosses val="autoZero"/>
        <c:auto val="1"/>
        <c:lblAlgn val="ctr"/>
        <c:lblOffset val="100"/>
        <c:noMultiLvlLbl val="0"/>
      </c:catAx>
      <c:valAx>
        <c:axId val="182880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80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 analysis.xlsx]Sheet2!PivotTable5</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Subject-wise Average Percentage</a:t>
            </a:r>
          </a:p>
        </c:rich>
      </c:tx>
      <c:layout>
        <c:manualLayout>
          <c:xMode val="edge"/>
          <c:yMode val="edge"/>
          <c:x val="0.29270822397200352"/>
          <c:y val="7.1656409563469151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96981627296587"/>
          <c:y val="0.28541229221347331"/>
          <c:w val="0.76966426071741034"/>
          <c:h val="0.53811424613589964"/>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Sheet2!$A$4:$A$8</c:f>
              <c:strCache>
                <c:ptCount val="4"/>
                <c:pt idx="0">
                  <c:v>Excel</c:v>
                </c:pt>
                <c:pt idx="1">
                  <c:v>Python</c:v>
                </c:pt>
                <c:pt idx="2">
                  <c:v>SQL</c:v>
                </c:pt>
                <c:pt idx="3">
                  <c:v>Statistics</c:v>
                </c:pt>
              </c:strCache>
            </c:strRef>
          </c:cat>
          <c:val>
            <c:numRef>
              <c:f>Sheet2!$B$4:$B$8</c:f>
              <c:numCache>
                <c:formatCode>General</c:formatCode>
                <c:ptCount val="4"/>
                <c:pt idx="0">
                  <c:v>96</c:v>
                </c:pt>
                <c:pt idx="1">
                  <c:v>96</c:v>
                </c:pt>
                <c:pt idx="2">
                  <c:v>96</c:v>
                </c:pt>
                <c:pt idx="3">
                  <c:v>96</c:v>
                </c:pt>
              </c:numCache>
            </c:numRef>
          </c:val>
          <c:extLst>
            <c:ext xmlns:c16="http://schemas.microsoft.com/office/drawing/2014/chart" uri="{C3380CC4-5D6E-409C-BE32-E72D297353CC}">
              <c16:uniqueId val="{00000000-C768-40E7-AE8B-E32B68283FB9}"/>
            </c:ext>
          </c:extLst>
        </c:ser>
        <c:dLbls>
          <c:dLblPos val="outEnd"/>
          <c:showLegendKey val="0"/>
          <c:showVal val="1"/>
          <c:showCatName val="0"/>
          <c:showSerName val="0"/>
          <c:showPercent val="0"/>
          <c:showBubbleSize val="0"/>
        </c:dLbls>
        <c:gapWidth val="267"/>
        <c:overlap val="-43"/>
        <c:axId val="1828805519"/>
        <c:axId val="1828805999"/>
      </c:barChart>
      <c:catAx>
        <c:axId val="182880551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28805999"/>
        <c:crosses val="autoZero"/>
        <c:auto val="1"/>
        <c:lblAlgn val="ctr"/>
        <c:lblOffset val="100"/>
        <c:noMultiLvlLbl val="0"/>
      </c:catAx>
      <c:valAx>
        <c:axId val="182880599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28805519"/>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 analysis.xlsx]Sheet4!PivotTable6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Branch</a:t>
            </a:r>
            <a:r>
              <a:rPr lang="en-US" baseline="0"/>
              <a:t>-wise Average Percentage</a:t>
            </a:r>
          </a:p>
          <a:p>
            <a:pPr>
              <a:defRPr/>
            </a:pPr>
            <a:endParaRPr lang="en-US"/>
          </a:p>
        </c:rich>
      </c:tx>
      <c:layout>
        <c:manualLayout>
          <c:xMode val="edge"/>
          <c:yMode val="edge"/>
          <c:x val="0.27726377952755904"/>
          <c:y val="6.74024289863175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AI&amp;DS</c:v>
                </c:pt>
                <c:pt idx="1">
                  <c:v>CSE</c:v>
                </c:pt>
                <c:pt idx="2">
                  <c:v>ECE</c:v>
                </c:pt>
                <c:pt idx="3">
                  <c:v>IT</c:v>
                </c:pt>
              </c:strCache>
            </c:strRef>
          </c:cat>
          <c:val>
            <c:numRef>
              <c:f>Sheet4!$B$4:$B$8</c:f>
              <c:numCache>
                <c:formatCode>General</c:formatCode>
                <c:ptCount val="4"/>
                <c:pt idx="0">
                  <c:v>89.181818181818187</c:v>
                </c:pt>
                <c:pt idx="1">
                  <c:v>86.7</c:v>
                </c:pt>
                <c:pt idx="2">
                  <c:v>75</c:v>
                </c:pt>
                <c:pt idx="3">
                  <c:v>89.4</c:v>
                </c:pt>
              </c:numCache>
            </c:numRef>
          </c:val>
          <c:extLst>
            <c:ext xmlns:c16="http://schemas.microsoft.com/office/drawing/2014/chart" uri="{C3380CC4-5D6E-409C-BE32-E72D297353CC}">
              <c16:uniqueId val="{00000000-F3A9-457B-9852-49D8E95E272F}"/>
            </c:ext>
          </c:extLst>
        </c:ser>
        <c:dLbls>
          <c:showLegendKey val="0"/>
          <c:showVal val="0"/>
          <c:showCatName val="0"/>
          <c:showSerName val="0"/>
          <c:showPercent val="0"/>
          <c:showBubbleSize val="0"/>
        </c:dLbls>
        <c:gapWidth val="150"/>
        <c:overlap val="100"/>
        <c:axId val="1840656591"/>
        <c:axId val="1992853311"/>
      </c:barChart>
      <c:catAx>
        <c:axId val="184065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853311"/>
        <c:crosses val="autoZero"/>
        <c:auto val="1"/>
        <c:lblAlgn val="ctr"/>
        <c:lblOffset val="100"/>
        <c:noMultiLvlLbl val="0"/>
      </c:catAx>
      <c:valAx>
        <c:axId val="199285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65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 analysis.xlsx]Sheet5!PivotTable7</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Gender Distribution</a:t>
            </a:r>
          </a:p>
        </c:rich>
      </c:tx>
      <c:layout>
        <c:manualLayout>
          <c:xMode val="edge"/>
          <c:yMode val="edge"/>
          <c:x val="0.27871522309711289"/>
          <c:y val="4.990522018081073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s>
    <c:plotArea>
      <c:layout/>
      <c:pieChart>
        <c:varyColors val="1"/>
        <c:ser>
          <c:idx val="0"/>
          <c:order val="0"/>
          <c:tx>
            <c:strRef>
              <c:f>Sheet5!$B$3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8324-4659-838B-51518ABC36A3}"/>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8324-4659-838B-51518ABC36A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Sheet5!$A$4:$A$6</c:f>
              <c:strCache>
                <c:ptCount val="2"/>
                <c:pt idx="0">
                  <c:v>F</c:v>
                </c:pt>
                <c:pt idx="1">
                  <c:v>M</c:v>
                </c:pt>
              </c:strCache>
            </c:strRef>
          </c:cat>
          <c:val>
            <c:numRef>
              <c:f>Sheet5!$B$4:$B$6</c:f>
              <c:numCache>
                <c:formatCode>General</c:formatCode>
                <c:ptCount val="2"/>
                <c:pt idx="0">
                  <c:v>1914</c:v>
                </c:pt>
                <c:pt idx="1">
                  <c:v>1808</c:v>
                </c:pt>
              </c:numCache>
            </c:numRef>
          </c:val>
          <c:extLst>
            <c:ext xmlns:c16="http://schemas.microsoft.com/office/drawing/2014/chart" uri="{C3380CC4-5D6E-409C-BE32-E72D297353CC}">
              <c16:uniqueId val="{00000004-8324-4659-838B-51518ABC36A3}"/>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 analysis.xlsx]Sheet4!PivotTable6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AI&amp;DS</c:v>
                </c:pt>
                <c:pt idx="1">
                  <c:v>CSE</c:v>
                </c:pt>
                <c:pt idx="2">
                  <c:v>ECE</c:v>
                </c:pt>
                <c:pt idx="3">
                  <c:v>IT</c:v>
                </c:pt>
              </c:strCache>
            </c:strRef>
          </c:cat>
          <c:val>
            <c:numRef>
              <c:f>Sheet4!$B$4:$B$8</c:f>
              <c:numCache>
                <c:formatCode>General</c:formatCode>
                <c:ptCount val="4"/>
                <c:pt idx="0">
                  <c:v>89.181818181818187</c:v>
                </c:pt>
                <c:pt idx="1">
                  <c:v>86.7</c:v>
                </c:pt>
                <c:pt idx="2">
                  <c:v>75</c:v>
                </c:pt>
                <c:pt idx="3">
                  <c:v>89.4</c:v>
                </c:pt>
              </c:numCache>
            </c:numRef>
          </c:val>
          <c:extLst>
            <c:ext xmlns:c16="http://schemas.microsoft.com/office/drawing/2014/chart" uri="{C3380CC4-5D6E-409C-BE32-E72D297353CC}">
              <c16:uniqueId val="{00000000-A737-48E7-943E-560725B49927}"/>
            </c:ext>
          </c:extLst>
        </c:ser>
        <c:dLbls>
          <c:showLegendKey val="0"/>
          <c:showVal val="0"/>
          <c:showCatName val="0"/>
          <c:showSerName val="0"/>
          <c:showPercent val="0"/>
          <c:showBubbleSize val="0"/>
        </c:dLbls>
        <c:gapWidth val="150"/>
        <c:overlap val="100"/>
        <c:axId val="1840656591"/>
        <c:axId val="1992853311"/>
      </c:barChart>
      <c:catAx>
        <c:axId val="184065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853311"/>
        <c:crosses val="autoZero"/>
        <c:auto val="1"/>
        <c:lblAlgn val="ctr"/>
        <c:lblOffset val="100"/>
        <c:noMultiLvlLbl val="0"/>
      </c:catAx>
      <c:valAx>
        <c:axId val="199285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65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 analysis.xlsx]Sheet5!PivotTable7</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s>
    <c:plotArea>
      <c:layout/>
      <c:pieChart>
        <c:varyColors val="1"/>
        <c:ser>
          <c:idx val="0"/>
          <c:order val="0"/>
          <c:tx>
            <c:strRef>
              <c:f>Sheet5!$B$3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0FA5-4C2B-9A57-202D43BE0BAB}"/>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0FA5-4C2B-9A57-202D43BE0BA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Sheet5!$A$4:$A$6</c:f>
              <c:strCache>
                <c:ptCount val="2"/>
                <c:pt idx="0">
                  <c:v>F</c:v>
                </c:pt>
                <c:pt idx="1">
                  <c:v>M</c:v>
                </c:pt>
              </c:strCache>
            </c:strRef>
          </c:cat>
          <c:val>
            <c:numRef>
              <c:f>Sheet5!$B$4:$B$6</c:f>
              <c:numCache>
                <c:formatCode>General</c:formatCode>
                <c:ptCount val="2"/>
                <c:pt idx="0">
                  <c:v>1914</c:v>
                </c:pt>
                <c:pt idx="1">
                  <c:v>1808</c:v>
                </c:pt>
              </c:numCache>
            </c:numRef>
          </c:val>
          <c:extLst>
            <c:ext xmlns:c16="http://schemas.microsoft.com/office/drawing/2014/chart" uri="{C3380CC4-5D6E-409C-BE32-E72D297353CC}">
              <c16:uniqueId val="{00000000-C25F-43EC-8B69-3156C6701044}"/>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4</xdr:col>
      <xdr:colOff>518160</xdr:colOff>
      <xdr:row>0</xdr:row>
      <xdr:rowOff>0</xdr:rowOff>
    </xdr:from>
    <xdr:to>
      <xdr:col>7</xdr:col>
      <xdr:colOff>518160</xdr:colOff>
      <xdr:row>12</xdr:row>
      <xdr:rowOff>112395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A7D3A10-BF95-3A93-B13A-AEDA4EB6B4F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503420" y="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579120</xdr:colOff>
      <xdr:row>0</xdr:row>
      <xdr:rowOff>0</xdr:rowOff>
    </xdr:from>
    <xdr:to>
      <xdr:col>10</xdr:col>
      <xdr:colOff>579120</xdr:colOff>
      <xdr:row>12</xdr:row>
      <xdr:rowOff>112395</xdr:rowOff>
    </xdr:to>
    <mc:AlternateContent xmlns:mc="http://schemas.openxmlformats.org/markup-compatibility/2006" xmlns:a14="http://schemas.microsoft.com/office/drawing/2010/main">
      <mc:Choice Requires="a14">
        <xdr:graphicFrame macro="">
          <xdr:nvGraphicFramePr>
            <xdr:cNvPr id="3" name="Branch">
              <a:extLst>
                <a:ext uri="{FF2B5EF4-FFF2-40B4-BE49-F238E27FC236}">
                  <a16:creationId xmlns:a16="http://schemas.microsoft.com/office/drawing/2014/main" id="{89A8ACA1-E76A-4B8E-6A14-A0AEE68D66EF}"/>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6393180" y="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152400</xdr:colOff>
      <xdr:row>0</xdr:row>
      <xdr:rowOff>0</xdr:rowOff>
    </xdr:from>
    <xdr:to>
      <xdr:col>14</xdr:col>
      <xdr:colOff>152400</xdr:colOff>
      <xdr:row>12</xdr:row>
      <xdr:rowOff>112395</xdr:rowOff>
    </xdr:to>
    <mc:AlternateContent xmlns:mc="http://schemas.openxmlformats.org/markup-compatibility/2006" xmlns:a14="http://schemas.microsoft.com/office/drawing/2010/main">
      <mc:Choice Requires="a14">
        <xdr:graphicFrame macro="">
          <xdr:nvGraphicFramePr>
            <xdr:cNvPr id="4" name="Semester">
              <a:extLst>
                <a:ext uri="{FF2B5EF4-FFF2-40B4-BE49-F238E27FC236}">
                  <a16:creationId xmlns:a16="http://schemas.microsoft.com/office/drawing/2014/main" id="{89C189DF-A1C6-99A4-295E-3B737B00DDF1}"/>
                </a:ext>
              </a:extLst>
            </xdr:cNvPr>
            <xdr:cNvGraphicFramePr/>
          </xdr:nvGraphicFramePr>
          <xdr:xfrm>
            <a:off x="0" y="0"/>
            <a:ext cx="0" cy="0"/>
          </xdr:xfrm>
          <a:graphic>
            <a:graphicData uri="http://schemas.microsoft.com/office/drawing/2010/slicer">
              <sle:slicer xmlns:sle="http://schemas.microsoft.com/office/drawing/2010/slicer" name="Semester"/>
            </a:graphicData>
          </a:graphic>
        </xdr:graphicFrame>
      </mc:Choice>
      <mc:Fallback xmlns="">
        <xdr:sp macro="" textlink="">
          <xdr:nvSpPr>
            <xdr:cNvPr id="0" name=""/>
            <xdr:cNvSpPr>
              <a:spLocks noTextEdit="1"/>
            </xdr:cNvSpPr>
          </xdr:nvSpPr>
          <xdr:spPr>
            <a:xfrm>
              <a:off x="8404860" y="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121920</xdr:colOff>
      <xdr:row>9</xdr:row>
      <xdr:rowOff>76200</xdr:rowOff>
    </xdr:from>
    <xdr:to>
      <xdr:col>5</xdr:col>
      <xdr:colOff>30480</xdr:colOff>
      <xdr:row>22</xdr:row>
      <xdr:rowOff>140970</xdr:rowOff>
    </xdr:to>
    <xdr:graphicFrame macro="">
      <xdr:nvGraphicFramePr>
        <xdr:cNvPr id="5" name="Chart 4">
          <a:extLst>
            <a:ext uri="{FF2B5EF4-FFF2-40B4-BE49-F238E27FC236}">
              <a16:creationId xmlns:a16="http://schemas.microsoft.com/office/drawing/2014/main" id="{17C2DC95-E790-4ED7-0F48-6A80B3B72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351804</xdr:colOff>
      <xdr:row>5</xdr:row>
      <xdr:rowOff>56462</xdr:rowOff>
    </xdr:from>
    <xdr:to>
      <xdr:col>14</xdr:col>
      <xdr:colOff>532481</xdr:colOff>
      <xdr:row>18</xdr:row>
      <xdr:rowOff>121232</xdr:rowOff>
    </xdr:to>
    <xdr:graphicFrame macro="">
      <xdr:nvGraphicFramePr>
        <xdr:cNvPr id="2" name="Chart 1">
          <a:extLst>
            <a:ext uri="{FF2B5EF4-FFF2-40B4-BE49-F238E27FC236}">
              <a16:creationId xmlns:a16="http://schemas.microsoft.com/office/drawing/2014/main" id="{DA9A959D-2258-4242-8DB5-268410A7E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10053</xdr:colOff>
      <xdr:row>20</xdr:row>
      <xdr:rowOff>182270</xdr:rowOff>
    </xdr:from>
    <xdr:to>
      <xdr:col>22</xdr:col>
      <xdr:colOff>10053</xdr:colOff>
      <xdr:row>26</xdr:row>
      <xdr:rowOff>108145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AB6450CD-651D-4349-9DD4-3C3FDAED109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636326" y="4280906"/>
              <a:ext cx="1835727" cy="1034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316457</xdr:colOff>
      <xdr:row>22</xdr:row>
      <xdr:rowOff>143939</xdr:rowOff>
    </xdr:from>
    <xdr:to>
      <xdr:col>17</xdr:col>
      <xdr:colOff>316457</xdr:colOff>
      <xdr:row>34</xdr:row>
      <xdr:rowOff>75638</xdr:rowOff>
    </xdr:to>
    <mc:AlternateContent xmlns:mc="http://schemas.openxmlformats.org/markup-compatibility/2006" xmlns:a14="http://schemas.microsoft.com/office/drawing/2010/main">
      <mc:Choice Requires="a14">
        <xdr:graphicFrame macro="">
          <xdr:nvGraphicFramePr>
            <xdr:cNvPr id="4" name="Branch 1">
              <a:extLst>
                <a:ext uri="{FF2B5EF4-FFF2-40B4-BE49-F238E27FC236}">
                  <a16:creationId xmlns:a16="http://schemas.microsoft.com/office/drawing/2014/main" id="{5F249F48-BF60-4B45-A530-49BB24BAFEAA}"/>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8883184" y="4612030"/>
              <a:ext cx="1835728" cy="2148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380994</xdr:colOff>
      <xdr:row>16</xdr:row>
      <xdr:rowOff>124911</xdr:rowOff>
    </xdr:from>
    <xdr:to>
      <xdr:col>25</xdr:col>
      <xdr:colOff>380994</xdr:colOff>
      <xdr:row>22</xdr:row>
      <xdr:rowOff>1766</xdr:rowOff>
    </xdr:to>
    <mc:AlternateContent xmlns:mc="http://schemas.openxmlformats.org/markup-compatibility/2006" xmlns:a14="http://schemas.microsoft.com/office/drawing/2010/main">
      <mc:Choice Requires="a14">
        <xdr:graphicFrame macro="">
          <xdr:nvGraphicFramePr>
            <xdr:cNvPr id="5" name="Semester 1">
              <a:extLst>
                <a:ext uri="{FF2B5EF4-FFF2-40B4-BE49-F238E27FC236}">
                  <a16:creationId xmlns:a16="http://schemas.microsoft.com/office/drawing/2014/main" id="{DDD52F15-8065-4D5F-A4D8-B5B4D941DFCA}"/>
                </a:ext>
              </a:extLst>
            </xdr:cNvPr>
            <xdr:cNvGraphicFramePr/>
          </xdr:nvGraphicFramePr>
          <xdr:xfrm>
            <a:off x="0" y="0"/>
            <a:ext cx="0" cy="0"/>
          </xdr:xfrm>
          <a:graphic>
            <a:graphicData uri="http://schemas.microsoft.com/office/drawing/2010/slicer">
              <sle:slicer xmlns:sle="http://schemas.microsoft.com/office/drawing/2010/slicer" name="Semester 1"/>
            </a:graphicData>
          </a:graphic>
        </xdr:graphicFrame>
      </mc:Choice>
      <mc:Fallback xmlns="">
        <xdr:sp macro="" textlink="">
          <xdr:nvSpPr>
            <xdr:cNvPr id="0" name=""/>
            <xdr:cNvSpPr>
              <a:spLocks noTextEdit="1"/>
            </xdr:cNvSpPr>
          </xdr:nvSpPr>
          <xdr:spPr>
            <a:xfrm>
              <a:off x="13842994" y="3484638"/>
              <a:ext cx="1835727" cy="985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532483</xdr:colOff>
      <xdr:row>0</xdr:row>
      <xdr:rowOff>349694</xdr:rowOff>
    </xdr:from>
    <xdr:to>
      <xdr:col>27</xdr:col>
      <xdr:colOff>587567</xdr:colOff>
      <xdr:row>13</xdr:row>
      <xdr:rowOff>136151</xdr:rowOff>
    </xdr:to>
    <xdr:graphicFrame macro="">
      <xdr:nvGraphicFramePr>
        <xdr:cNvPr id="6" name="Chart 5">
          <a:extLst>
            <a:ext uri="{FF2B5EF4-FFF2-40B4-BE49-F238E27FC236}">
              <a16:creationId xmlns:a16="http://schemas.microsoft.com/office/drawing/2014/main" id="{E5538E5F-5E5F-40F0-86C9-8EA82DFE2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464613</xdr:colOff>
      <xdr:row>19</xdr:row>
      <xdr:rowOff>119331</xdr:rowOff>
    </xdr:from>
    <xdr:to>
      <xdr:col>10</xdr:col>
      <xdr:colOff>284603</xdr:colOff>
      <xdr:row>38</xdr:row>
      <xdr:rowOff>174434</xdr:rowOff>
    </xdr:to>
    <xdr:graphicFrame macro="">
      <xdr:nvGraphicFramePr>
        <xdr:cNvPr id="7" name="Chart 6">
          <a:extLst>
            <a:ext uri="{FF2B5EF4-FFF2-40B4-BE49-F238E27FC236}">
              <a16:creationId xmlns:a16="http://schemas.microsoft.com/office/drawing/2014/main" id="{02BB9BA5-DAC2-42CE-B478-E006085D8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342900</xdr:colOff>
      <xdr:row>6</xdr:row>
      <xdr:rowOff>41910</xdr:rowOff>
    </xdr:from>
    <xdr:to>
      <xdr:col>11</xdr:col>
      <xdr:colOff>38100</xdr:colOff>
      <xdr:row>21</xdr:row>
      <xdr:rowOff>41910</xdr:rowOff>
    </xdr:to>
    <xdr:graphicFrame macro="">
      <xdr:nvGraphicFramePr>
        <xdr:cNvPr id="2" name="Chart 1">
          <a:extLst>
            <a:ext uri="{FF2B5EF4-FFF2-40B4-BE49-F238E27FC236}">
              <a16:creationId xmlns:a16="http://schemas.microsoft.com/office/drawing/2014/main" id="{D932A887-53F8-A00D-BCFD-A11EADE38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556260</xdr:colOff>
      <xdr:row>6</xdr:row>
      <xdr:rowOff>41910</xdr:rowOff>
    </xdr:from>
    <xdr:to>
      <xdr:col>11</xdr:col>
      <xdr:colOff>251460</xdr:colOff>
      <xdr:row>21</xdr:row>
      <xdr:rowOff>41910</xdr:rowOff>
    </xdr:to>
    <xdr:graphicFrame macro="">
      <xdr:nvGraphicFramePr>
        <xdr:cNvPr id="2" name="Chart 1">
          <a:extLst>
            <a:ext uri="{FF2B5EF4-FFF2-40B4-BE49-F238E27FC236}">
              <a16:creationId xmlns:a16="http://schemas.microsoft.com/office/drawing/2014/main" id="{6554B0D3-E3EA-FCC6-B3F1-C65A5D4D8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m maria" refreshedDate="46077.846685416669" createdVersion="8" refreshedVersion="8" minRefreshableVersion="3" recordCount="35" xr:uid="{693AE2B8-3274-4EEC-8035-CE9D1B3F4E7F}">
  <cacheSource type="worksheet">
    <worksheetSource name="Table1"/>
  </cacheSource>
  <cacheFields count="15">
    <cacheField name="Student_ID" numFmtId="0">
      <sharedItems containsSemiMixedTypes="0" containsString="0" containsNumber="1" containsInteger="1" minValue="101" maxValue="111"/>
    </cacheField>
    <cacheField name="Name" numFmtId="0">
      <sharedItems/>
    </cacheField>
    <cacheField name="Gender" numFmtId="0">
      <sharedItems count="2">
        <s v="F"/>
        <s v="M"/>
      </sharedItems>
    </cacheField>
    <cacheField name="Branch" numFmtId="0">
      <sharedItems count="4">
        <s v="AI&amp;DS"/>
        <s v="CSE"/>
        <s v="IT"/>
        <s v="ECE"/>
      </sharedItems>
    </cacheField>
    <cacheField name="Semester" numFmtId="0">
      <sharedItems containsSemiMixedTypes="0" containsString="0" containsNumber="1" containsInteger="1" minValue="1" maxValue="2" count="2">
        <n v="1"/>
        <n v="2"/>
      </sharedItems>
    </cacheField>
    <cacheField name="Subject" numFmtId="0">
      <sharedItems count="4">
        <s v="Python"/>
        <s v="Excel"/>
        <s v="SQL"/>
        <s v="Statistics"/>
      </sharedItems>
    </cacheField>
    <cacheField name="Internal" numFmtId="0">
      <sharedItems containsSemiMixedTypes="0" containsString="0" containsNumber="1" containsInteger="1" minValue="14" maxValue="26"/>
    </cacheField>
    <cacheField name="External" numFmtId="0">
      <sharedItems containsSemiMixedTypes="0" containsString="0" containsNumber="1" containsInteger="1" minValue="38" maxValue="64"/>
    </cacheField>
    <cacheField name="Attendance" numFmtId="0">
      <sharedItems containsSemiMixedTypes="0" containsString="0" containsNumber="1" containsInteger="1" minValue="75" maxValue="96"/>
    </cacheField>
    <cacheField name="Study_Hours" numFmtId="0">
      <sharedItems containsSemiMixedTypes="0" containsString="0" containsNumber="1" containsInteger="1" minValue="5" maxValue="15"/>
    </cacheField>
    <cacheField name="Assignments" numFmtId="0">
      <sharedItems containsSemiMixedTypes="0" containsString="0" containsNumber="1" containsInteger="1" minValue="2" maxValue="5"/>
    </cacheField>
    <cacheField name="Placement" numFmtId="0">
      <sharedItems/>
    </cacheField>
    <cacheField name="Total marks" numFmtId="0">
      <sharedItems containsSemiMixedTypes="0" containsString="0" containsNumber="1" containsInteger="1" minValue="52" maxValue="90"/>
    </cacheField>
    <cacheField name="Percentage" numFmtId="0">
      <sharedItems containsSemiMixedTypes="0" containsString="0" containsNumber="1" containsInteger="1" minValue="75" maxValue="96"/>
    </cacheField>
    <cacheField name="Grade" numFmtId="0">
      <sharedItems/>
    </cacheField>
  </cacheFields>
  <extLst>
    <ext xmlns:x14="http://schemas.microsoft.com/office/spreadsheetml/2009/9/main" uri="{725AE2AE-9491-48be-B2B4-4EB974FC3084}">
      <x14:pivotCacheDefinition pivotCacheId="12177554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n v="101"/>
    <s v="Aisha"/>
    <x v="0"/>
    <x v="0"/>
    <x v="0"/>
    <x v="0"/>
    <n v="24"/>
    <n v="60"/>
    <n v="92"/>
    <n v="12"/>
    <n v="5"/>
    <s v="Yes"/>
    <n v="84"/>
    <n v="92"/>
    <s v="A+"/>
  </r>
  <r>
    <n v="101"/>
    <s v="Aisha"/>
    <x v="0"/>
    <x v="0"/>
    <x v="0"/>
    <x v="1"/>
    <n v="22"/>
    <n v="58"/>
    <n v="92"/>
    <n v="12"/>
    <n v="5"/>
    <s v="Yes"/>
    <n v="80"/>
    <n v="92"/>
    <s v="A+"/>
  </r>
  <r>
    <n v="101"/>
    <s v="Aisha"/>
    <x v="0"/>
    <x v="0"/>
    <x v="0"/>
    <x v="2"/>
    <n v="23"/>
    <n v="55"/>
    <n v="92"/>
    <n v="12"/>
    <n v="5"/>
    <s v="Yes"/>
    <n v="78"/>
    <n v="92"/>
    <s v="A+"/>
  </r>
  <r>
    <n v="102"/>
    <s v="Rahul"/>
    <x v="1"/>
    <x v="0"/>
    <x v="0"/>
    <x v="0"/>
    <n v="18"/>
    <n v="50"/>
    <n v="85"/>
    <n v="8"/>
    <n v="4"/>
    <s v="No"/>
    <n v="68"/>
    <n v="85"/>
    <s v="A"/>
  </r>
  <r>
    <n v="102"/>
    <s v="Rahul"/>
    <x v="1"/>
    <x v="0"/>
    <x v="0"/>
    <x v="1"/>
    <n v="20"/>
    <n v="48"/>
    <n v="85"/>
    <n v="8"/>
    <n v="4"/>
    <s v="No"/>
    <n v="68"/>
    <n v="85"/>
    <s v="A"/>
  </r>
  <r>
    <n v="102"/>
    <s v="Rahul"/>
    <x v="1"/>
    <x v="0"/>
    <x v="0"/>
    <x v="2"/>
    <n v="19"/>
    <n v="45"/>
    <n v="85"/>
    <n v="8"/>
    <n v="4"/>
    <s v="No"/>
    <n v="64"/>
    <n v="85"/>
    <s v="A"/>
  </r>
  <r>
    <n v="103"/>
    <s v="Sneha"/>
    <x v="0"/>
    <x v="1"/>
    <x v="0"/>
    <x v="0"/>
    <n v="26"/>
    <n v="63"/>
    <n v="95"/>
    <n v="14"/>
    <n v="5"/>
    <s v="Yes"/>
    <n v="89"/>
    <n v="95"/>
    <s v="A+"/>
  </r>
  <r>
    <n v="103"/>
    <s v="Sneha"/>
    <x v="0"/>
    <x v="1"/>
    <x v="0"/>
    <x v="1"/>
    <n v="25"/>
    <n v="60"/>
    <n v="95"/>
    <n v="14"/>
    <n v="5"/>
    <s v="Yes"/>
    <n v="85"/>
    <n v="95"/>
    <s v="A+"/>
  </r>
  <r>
    <n v="103"/>
    <s v="Sneha"/>
    <x v="0"/>
    <x v="1"/>
    <x v="0"/>
    <x v="2"/>
    <n v="24"/>
    <n v="58"/>
    <n v="95"/>
    <n v="14"/>
    <n v="5"/>
    <s v="Yes"/>
    <n v="82"/>
    <n v="95"/>
    <s v="A+"/>
  </r>
  <r>
    <n v="104"/>
    <s v="Arjun"/>
    <x v="1"/>
    <x v="1"/>
    <x v="0"/>
    <x v="0"/>
    <n v="15"/>
    <n v="40"/>
    <n v="78"/>
    <n v="6"/>
    <n v="3"/>
    <s v="No"/>
    <n v="55"/>
    <n v="78"/>
    <s v="B"/>
  </r>
  <r>
    <n v="104"/>
    <s v="Arjun"/>
    <x v="1"/>
    <x v="1"/>
    <x v="0"/>
    <x v="1"/>
    <n v="17"/>
    <n v="42"/>
    <n v="78"/>
    <n v="6"/>
    <n v="3"/>
    <s v="No"/>
    <n v="59"/>
    <n v="78"/>
    <s v="B"/>
  </r>
  <r>
    <n v="104"/>
    <s v="Arjun"/>
    <x v="1"/>
    <x v="1"/>
    <x v="0"/>
    <x v="2"/>
    <n v="18"/>
    <n v="44"/>
    <n v="78"/>
    <n v="6"/>
    <n v="3"/>
    <s v="No"/>
    <n v="62"/>
    <n v="78"/>
    <s v="B"/>
  </r>
  <r>
    <n v="105"/>
    <s v="Meera"/>
    <x v="0"/>
    <x v="2"/>
    <x v="0"/>
    <x v="0"/>
    <n v="23"/>
    <n v="59"/>
    <n v="88"/>
    <n v="11"/>
    <n v="4"/>
    <s v="Yes"/>
    <n v="82"/>
    <n v="88"/>
    <s v="A"/>
  </r>
  <r>
    <n v="105"/>
    <s v="Meera"/>
    <x v="0"/>
    <x v="2"/>
    <x v="0"/>
    <x v="1"/>
    <n v="21"/>
    <n v="56"/>
    <n v="88"/>
    <n v="11"/>
    <n v="4"/>
    <s v="Yes"/>
    <n v="77"/>
    <n v="88"/>
    <s v="A"/>
  </r>
  <r>
    <n v="105"/>
    <s v="Meera"/>
    <x v="0"/>
    <x v="2"/>
    <x v="0"/>
    <x v="2"/>
    <n v="22"/>
    <n v="54"/>
    <n v="88"/>
    <n v="11"/>
    <n v="4"/>
    <s v="Yes"/>
    <n v="76"/>
    <n v="88"/>
    <s v="A"/>
  </r>
  <r>
    <n v="106"/>
    <s v="Karan"/>
    <x v="1"/>
    <x v="2"/>
    <x v="0"/>
    <x v="0"/>
    <n v="16"/>
    <n v="46"/>
    <n v="82"/>
    <n v="7"/>
    <n v="3"/>
    <s v="No"/>
    <n v="62"/>
    <n v="82"/>
    <s v="A"/>
  </r>
  <r>
    <n v="106"/>
    <s v="Karan"/>
    <x v="1"/>
    <x v="2"/>
    <x v="0"/>
    <x v="1"/>
    <n v="18"/>
    <n v="48"/>
    <n v="82"/>
    <n v="7"/>
    <n v="3"/>
    <s v="No"/>
    <n v="66"/>
    <n v="82"/>
    <s v="A"/>
  </r>
  <r>
    <n v="106"/>
    <s v="Karan"/>
    <x v="1"/>
    <x v="2"/>
    <x v="0"/>
    <x v="2"/>
    <n v="17"/>
    <n v="45"/>
    <n v="82"/>
    <n v="7"/>
    <n v="3"/>
    <s v="No"/>
    <n v="62"/>
    <n v="82"/>
    <s v="A"/>
  </r>
  <r>
    <n v="107"/>
    <s v="Riya"/>
    <x v="0"/>
    <x v="0"/>
    <x v="1"/>
    <x v="3"/>
    <n v="22"/>
    <n v="55"/>
    <n v="94"/>
    <n v="13"/>
    <n v="5"/>
    <s v="Yes"/>
    <n v="77"/>
    <n v="94"/>
    <s v="A+"/>
  </r>
  <r>
    <n v="108"/>
    <s v="Aman"/>
    <x v="1"/>
    <x v="1"/>
    <x v="1"/>
    <x v="0"/>
    <n v="19"/>
    <n v="52"/>
    <n v="87"/>
    <n v="9"/>
    <n v="4"/>
    <s v="No"/>
    <n v="71"/>
    <n v="87"/>
    <s v="A"/>
  </r>
  <r>
    <n v="108"/>
    <s v="Aman"/>
    <x v="1"/>
    <x v="1"/>
    <x v="1"/>
    <x v="1"/>
    <n v="18"/>
    <n v="50"/>
    <n v="87"/>
    <n v="9"/>
    <n v="4"/>
    <s v="No"/>
    <n v="68"/>
    <n v="87"/>
    <s v="A"/>
  </r>
  <r>
    <n v="108"/>
    <s v="Aman"/>
    <x v="1"/>
    <x v="1"/>
    <x v="1"/>
    <x v="2"/>
    <n v="17"/>
    <n v="48"/>
    <n v="87"/>
    <n v="9"/>
    <n v="4"/>
    <s v="No"/>
    <n v="65"/>
    <n v="87"/>
    <s v="A"/>
  </r>
  <r>
    <n v="108"/>
    <s v="Aman"/>
    <x v="1"/>
    <x v="1"/>
    <x v="1"/>
    <x v="3"/>
    <n v="16"/>
    <n v="45"/>
    <n v="87"/>
    <n v="9"/>
    <n v="4"/>
    <s v="No"/>
    <n v="61"/>
    <n v="87"/>
    <s v="A"/>
  </r>
  <r>
    <n v="109"/>
    <s v="Kavya"/>
    <x v="0"/>
    <x v="2"/>
    <x v="1"/>
    <x v="0"/>
    <n v="26"/>
    <n v="64"/>
    <n v="96"/>
    <n v="15"/>
    <n v="5"/>
    <s v="Yes"/>
    <n v="90"/>
    <n v="96"/>
    <s v="A+"/>
  </r>
  <r>
    <n v="109"/>
    <s v="Kavya"/>
    <x v="0"/>
    <x v="2"/>
    <x v="1"/>
    <x v="1"/>
    <n v="25"/>
    <n v="61"/>
    <n v="96"/>
    <n v="15"/>
    <n v="5"/>
    <s v="Yes"/>
    <n v="86"/>
    <n v="96"/>
    <s v="A+"/>
  </r>
  <r>
    <n v="109"/>
    <s v="Kavya"/>
    <x v="0"/>
    <x v="2"/>
    <x v="1"/>
    <x v="2"/>
    <n v="24"/>
    <n v="60"/>
    <n v="96"/>
    <n v="15"/>
    <n v="5"/>
    <s v="Yes"/>
    <n v="84"/>
    <n v="96"/>
    <s v="A+"/>
  </r>
  <r>
    <n v="109"/>
    <s v="Kavya"/>
    <x v="0"/>
    <x v="2"/>
    <x v="1"/>
    <x v="3"/>
    <n v="23"/>
    <n v="58"/>
    <n v="96"/>
    <n v="15"/>
    <n v="5"/>
    <s v="Yes"/>
    <n v="81"/>
    <n v="96"/>
    <s v="A+"/>
  </r>
  <r>
    <n v="110"/>
    <s v="Rohit"/>
    <x v="1"/>
    <x v="3"/>
    <x v="1"/>
    <x v="0"/>
    <n v="14"/>
    <n v="38"/>
    <n v="75"/>
    <n v="5"/>
    <n v="2"/>
    <s v="No"/>
    <n v="52"/>
    <n v="75"/>
    <s v="B"/>
  </r>
  <r>
    <n v="110"/>
    <s v="Rohit"/>
    <x v="1"/>
    <x v="3"/>
    <x v="1"/>
    <x v="1"/>
    <n v="15"/>
    <n v="40"/>
    <n v="75"/>
    <n v="5"/>
    <n v="2"/>
    <s v="No"/>
    <n v="55"/>
    <n v="75"/>
    <s v="B"/>
  </r>
  <r>
    <n v="110"/>
    <s v="Rohit"/>
    <x v="1"/>
    <x v="3"/>
    <x v="1"/>
    <x v="2"/>
    <n v="16"/>
    <n v="42"/>
    <n v="75"/>
    <n v="5"/>
    <n v="2"/>
    <s v="No"/>
    <n v="58"/>
    <n v="75"/>
    <s v="B"/>
  </r>
  <r>
    <n v="110"/>
    <s v="Rohit"/>
    <x v="1"/>
    <x v="3"/>
    <x v="1"/>
    <x v="3"/>
    <n v="17"/>
    <n v="44"/>
    <n v="75"/>
    <n v="5"/>
    <n v="2"/>
    <s v="No"/>
    <n v="61"/>
    <n v="75"/>
    <s v="B"/>
  </r>
  <r>
    <n v="111"/>
    <s v="Simran"/>
    <x v="0"/>
    <x v="0"/>
    <x v="1"/>
    <x v="0"/>
    <n v="21"/>
    <n v="56"/>
    <n v="89"/>
    <n v="11"/>
    <n v="4"/>
    <s v="Yes"/>
    <n v="77"/>
    <n v="89"/>
    <s v="A"/>
  </r>
  <r>
    <n v="111"/>
    <s v="Simran"/>
    <x v="0"/>
    <x v="0"/>
    <x v="1"/>
    <x v="1"/>
    <n v="22"/>
    <n v="57"/>
    <n v="89"/>
    <n v="11"/>
    <n v="4"/>
    <s v="Yes"/>
    <n v="79"/>
    <n v="89"/>
    <s v="A"/>
  </r>
  <r>
    <n v="111"/>
    <s v="Simran"/>
    <x v="0"/>
    <x v="0"/>
    <x v="1"/>
    <x v="2"/>
    <n v="20"/>
    <n v="54"/>
    <n v="89"/>
    <n v="11"/>
    <n v="4"/>
    <s v="Yes"/>
    <n v="74"/>
    <n v="89"/>
    <s v="A"/>
  </r>
  <r>
    <n v="111"/>
    <s v="Simran"/>
    <x v="0"/>
    <x v="0"/>
    <x v="1"/>
    <x v="3"/>
    <n v="19"/>
    <n v="52"/>
    <n v="89"/>
    <n v="11"/>
    <n v="4"/>
    <s v="Yes"/>
    <n v="71"/>
    <n v="89"/>
    <s v="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B660F7-54EA-4360-B3C0-2D753650F9A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5">
    <pivotField showAll="0"/>
    <pivotField showAll="0"/>
    <pivotField showAll="0">
      <items count="3">
        <item x="0"/>
        <item h="1" x="1"/>
        <item t="default"/>
      </items>
    </pivotField>
    <pivotField showAll="0">
      <items count="5">
        <item h="1" x="0"/>
        <item h="1" x="1"/>
        <item h="1" x="3"/>
        <item x="2"/>
        <item t="default"/>
      </items>
    </pivotField>
    <pivotField showAll="0">
      <items count="3">
        <item h="1" x="0"/>
        <item x="1"/>
        <item t="default"/>
      </items>
    </pivotField>
    <pivotField axis="axisRow" showAll="0">
      <items count="5">
        <item x="1"/>
        <item x="0"/>
        <item x="2"/>
        <item x="3"/>
        <item t="default"/>
      </items>
    </pivotField>
    <pivotField showAll="0"/>
    <pivotField showAll="0"/>
    <pivotField showAll="0"/>
    <pivotField showAll="0"/>
    <pivotField showAll="0"/>
    <pivotField showAll="0"/>
    <pivotField showAll="0"/>
    <pivotField dataField="1" showAll="0"/>
    <pivotField showAll="0"/>
  </pivotFields>
  <rowFields count="1">
    <field x="5"/>
  </rowFields>
  <rowItems count="5">
    <i>
      <x/>
    </i>
    <i>
      <x v="1"/>
    </i>
    <i>
      <x v="2"/>
    </i>
    <i>
      <x v="3"/>
    </i>
    <i t="grand">
      <x/>
    </i>
  </rowItems>
  <colItems count="1">
    <i/>
  </colItems>
  <dataFields count="1">
    <dataField name="Average of Percentage" fld="13" subtotal="average" baseField="5" baseItem="0"/>
  </dataFields>
  <formats count="6">
    <format dxfId="23">
      <pivotArea type="all" dataOnly="0" outline="0" fieldPosition="0"/>
    </format>
    <format dxfId="22">
      <pivotArea outline="0" collapsedLevelsAreSubtotals="1" fieldPosition="0"/>
    </format>
    <format dxfId="21">
      <pivotArea field="5" type="button" dataOnly="0" labelOnly="1" outline="0" axis="axisRow" fieldPosition="0"/>
    </format>
    <format dxfId="20">
      <pivotArea dataOnly="0" labelOnly="1" fieldPosition="0">
        <references count="1">
          <reference field="5" count="0"/>
        </references>
      </pivotArea>
    </format>
    <format dxfId="19">
      <pivotArea dataOnly="0" labelOnly="1" grandRow="1" outline="0" fieldPosition="0"/>
    </format>
    <format dxfId="18">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C22284-0F8B-41AB-A83C-4554EC13AA6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5">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3"/>
  </rowFields>
  <rowItems count="5">
    <i>
      <x/>
    </i>
    <i>
      <x v="1"/>
    </i>
    <i>
      <x v="2"/>
    </i>
    <i>
      <x v="3"/>
    </i>
    <i t="grand">
      <x/>
    </i>
  </rowItems>
  <colItems count="1">
    <i/>
  </colItems>
  <dataFields count="1">
    <dataField name="Average of Percentage" fld="13" subtotal="average" baseField="3"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600A59-2985-443C-9B2C-65F3FB074FD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5">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Student_ID" fld="0" baseField="0" baseItem="0"/>
  </dataFields>
  <chartFormats count="6">
    <chartFormat chart="5"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0"/>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674E25C-133E-4258-9CB3-5C5C98187BDA}" sourceName="Gender">
  <pivotTables>
    <pivotTable tabId="2" name="PivotTable5"/>
  </pivotTables>
  <data>
    <tabular pivotCacheId="1217755474">
      <items count="2">
        <i x="0" s="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4FD04D8E-E8B3-4B29-B3D0-DA4435243416}" sourceName="Branch">
  <pivotTables>
    <pivotTable tabId="2" name="PivotTable5"/>
  </pivotTables>
  <data>
    <tabular pivotCacheId="1217755474">
      <items count="4">
        <i x="0"/>
        <i x="2" s="1"/>
        <i x="1"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mester" xr10:uid="{23924C2B-F18F-43AD-96FF-234535C88455}" sourceName="Semester">
  <pivotTables>
    <pivotTable tabId="2" name="PivotTable5"/>
  </pivotTables>
  <data>
    <tabular pivotCacheId="1217755474">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9B8B6D5-0A29-43E0-91BF-2B7EAF26831E}" cache="Slicer_Gender" caption="Gender" rowHeight="247650"/>
  <slicer name="Branch" xr10:uid="{622FF895-91BA-406D-8505-3CDBACEA50CC}" cache="Slicer_Branch" caption="Branch" rowHeight="247650"/>
  <slicer name="Semester" xr10:uid="{2B9CB9CC-EB68-40FF-94E9-257DD52DE196}" cache="Slicer_Semester" caption="Semest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E2F34D9-D183-417D-8B7A-DA9454B0807F}" cache="Slicer_Gender" caption="Gender" rowHeight="247650"/>
  <slicer name="Branch 1" xr10:uid="{91EE448E-20D1-4AC8-9636-E881C7F8613F}" cache="Slicer_Branch" caption="Branch" rowHeight="247650"/>
  <slicer name="Semester 1" xr10:uid="{8DC205FD-3584-42D2-9098-C74C7B4D0587}" cache="Slicer_Semester" caption="Semes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770E73-1140-47A8-9F0A-6A0C13EC773D}" name="Table1" displayName="Table1" ref="A1:O36" totalsRowShown="0" headerRowDxfId="17" dataDxfId="16">
  <autoFilter ref="A1:O36" xr:uid="{7E770E73-1140-47A8-9F0A-6A0C13EC773D}"/>
  <tableColumns count="15">
    <tableColumn id="1" xr3:uid="{5BA94172-5844-43DD-AAB9-A8D66CD33704}" name="Student_ID" dataDxfId="15"/>
    <tableColumn id="2" xr3:uid="{C244DFB8-B09F-4EE4-918B-A86FE5596A59}" name="Name" dataDxfId="14"/>
    <tableColumn id="3" xr3:uid="{1F3A4DD8-EB03-4550-8D6C-42DC282B3C12}" name="Gender" dataDxfId="13"/>
    <tableColumn id="4" xr3:uid="{6A4699E3-5A15-4508-9B12-5D1571200679}" name="Branch" dataDxfId="12"/>
    <tableColumn id="5" xr3:uid="{C966C5B7-2705-4CB1-8A77-F7135AD3B023}" name="Semester" dataDxfId="11"/>
    <tableColumn id="6" xr3:uid="{BFFD785B-AB42-493F-B81C-58ECF581A142}" name="Subject" dataDxfId="10"/>
    <tableColumn id="7" xr3:uid="{04882D7F-C0F1-456B-8664-ECB0BBF4343C}" name="Internal" dataDxfId="9"/>
    <tableColumn id="8" xr3:uid="{BB0B77BA-53F7-4C10-8651-153436016E93}" name="External" dataDxfId="8"/>
    <tableColumn id="9" xr3:uid="{9B03163F-A6A5-4E84-A1FF-693280BB1767}" name="Attendance" dataDxfId="7"/>
    <tableColumn id="10" xr3:uid="{535775EB-019E-42C7-B757-0316A829CCF6}" name="Study_Hours" dataDxfId="6"/>
    <tableColumn id="11" xr3:uid="{F9A0505B-6384-4748-9AE7-DED392782FDB}" name="Assignments" dataDxfId="5"/>
    <tableColumn id="12" xr3:uid="{1211D73F-130E-4A2C-8F10-D8349A078E8E}" name="Placement" dataDxfId="4"/>
    <tableColumn id="13" xr3:uid="{D2A1D097-3020-400E-804D-66CA69B3F393}" name="Total marks" dataDxfId="3">
      <calculatedColumnFormula>G2+H2</calculatedColumnFormula>
    </tableColumn>
    <tableColumn id="14" xr3:uid="{9BF35CC9-40A9-4D27-99E6-31390C970F09}" name="Percentage" dataDxfId="2">
      <calculatedColumnFormula>I2</calculatedColumnFormula>
    </tableColumn>
    <tableColumn id="15" xr3:uid="{7746D0F1-8255-46D8-A315-7B971A607748}" name="Grade" dataDxfId="1">
      <calculatedColumnFormula>IF(I2&gt;=90,"A+",IF(I2&gt;=80,"A",IF(I2&gt;=70,"B",IF(I2&gt;=60,"C","D"))))</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F1CD4-09DF-4518-9EF3-B1CEC550A63D}">
  <dimension ref="A3:B8"/>
  <sheetViews>
    <sheetView workbookViewId="0">
      <selection activeCell="A3" sqref="A3"/>
    </sheetView>
  </sheetViews>
  <sheetFormatPr defaultRowHeight="14.4" x14ac:dyDescent="0.3"/>
  <cols>
    <col min="1" max="1" width="15.33203125" bestFit="1" customWidth="1"/>
    <col min="2" max="2" width="25" customWidth="1"/>
  </cols>
  <sheetData>
    <row r="3" spans="1:2" ht="18" x14ac:dyDescent="0.35">
      <c r="A3" s="6" t="s">
        <v>38</v>
      </c>
      <c r="B3" s="7" t="s">
        <v>40</v>
      </c>
    </row>
    <row r="4" spans="1:2" ht="18" x14ac:dyDescent="0.35">
      <c r="A4" s="8" t="s">
        <v>17</v>
      </c>
      <c r="B4" s="7">
        <v>96</v>
      </c>
    </row>
    <row r="5" spans="1:2" ht="18" x14ac:dyDescent="0.35">
      <c r="A5" s="8" t="s">
        <v>15</v>
      </c>
      <c r="B5" s="7">
        <v>96</v>
      </c>
    </row>
    <row r="6" spans="1:2" ht="18" x14ac:dyDescent="0.35">
      <c r="A6" s="8" t="s">
        <v>18</v>
      </c>
      <c r="B6" s="7">
        <v>96</v>
      </c>
    </row>
    <row r="7" spans="1:2" ht="18" x14ac:dyDescent="0.35">
      <c r="A7" s="8" t="s">
        <v>29</v>
      </c>
      <c r="B7" s="7">
        <v>96</v>
      </c>
    </row>
    <row r="8" spans="1:2" ht="18" x14ac:dyDescent="0.35">
      <c r="A8" s="8" t="s">
        <v>39</v>
      </c>
      <c r="B8" s="7">
        <v>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16D69-67D1-441F-9E63-BACFDB20F829}">
  <dimension ref="A1:O4"/>
  <sheetViews>
    <sheetView showGridLines="0" tabSelected="1" topLeftCell="A2" zoomScale="66" workbookViewId="0">
      <selection activeCell="L36" sqref="L36"/>
    </sheetView>
  </sheetViews>
  <sheetFormatPr defaultRowHeight="14.4" x14ac:dyDescent="0.3"/>
  <sheetData>
    <row r="1" spans="1:15" ht="30" x14ac:dyDescent="0.7">
      <c r="A1" s="9" t="s">
        <v>41</v>
      </c>
      <c r="B1" s="9"/>
      <c r="C1" s="9"/>
      <c r="D1" s="9"/>
      <c r="E1" s="9"/>
      <c r="F1" s="10"/>
      <c r="G1" s="10"/>
      <c r="H1" s="10"/>
      <c r="I1" s="10"/>
    </row>
    <row r="2" spans="1:15" ht="18" x14ac:dyDescent="0.35">
      <c r="A2" s="11" t="s">
        <v>42</v>
      </c>
      <c r="B2" s="11"/>
      <c r="C2" s="11"/>
      <c r="D2" s="11"/>
      <c r="E2" s="12"/>
    </row>
    <row r="3" spans="1:15" ht="21" x14ac:dyDescent="0.4">
      <c r="A3" s="13"/>
      <c r="B3" s="13" t="s">
        <v>43</v>
      </c>
      <c r="C3" s="13"/>
      <c r="E3" s="14"/>
      <c r="F3" s="13" t="s">
        <v>44</v>
      </c>
      <c r="G3" s="14"/>
      <c r="I3" s="13"/>
      <c r="J3" s="13" t="s">
        <v>45</v>
      </c>
      <c r="K3" s="13"/>
      <c r="M3" s="14"/>
      <c r="N3" s="13" t="s">
        <v>47</v>
      </c>
      <c r="O3" s="13"/>
    </row>
    <row r="4" spans="1:15" ht="21" x14ac:dyDescent="0.4">
      <c r="A4" s="13"/>
      <c r="B4" s="13">
        <f>AVERAGE(Sheet1!I:I)</f>
        <v>86.914285714285711</v>
      </c>
      <c r="C4" s="13"/>
      <c r="E4" s="14"/>
      <c r="F4" s="13">
        <f>MAX(Sheet1!I:I)</f>
        <v>96</v>
      </c>
      <c r="G4" s="14"/>
      <c r="I4" s="13"/>
      <c r="J4" s="13">
        <f>COUNTA(Sheet1!A:A)/4</f>
        <v>9</v>
      </c>
      <c r="K4" s="13"/>
      <c r="M4" s="14"/>
      <c r="N4" s="13">
        <f>COUNTIF(Sheet1!I:I,"&gt;=40")/COUNTA(Sheet1!I:I)</f>
        <v>0.97222222222222221</v>
      </c>
      <c r="O4" s="13"/>
    </row>
  </sheetData>
  <conditionalFormatting sqref="R20">
    <cfRule type="top10" dxfId="0" priority="1" percent="1" bottom="1" rank="10"/>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E6273-00DB-4CAA-BAE5-370B35B3BE0A}">
  <dimension ref="A3:B8"/>
  <sheetViews>
    <sheetView workbookViewId="0">
      <selection activeCell="A3" sqref="A3"/>
    </sheetView>
  </sheetViews>
  <sheetFormatPr defaultRowHeight="14.4" x14ac:dyDescent="0.3"/>
  <cols>
    <col min="1" max="1" width="12.44140625" bestFit="1" customWidth="1"/>
    <col min="2" max="2" width="19.33203125" bestFit="1" customWidth="1"/>
  </cols>
  <sheetData>
    <row r="3" spans="1:2" x14ac:dyDescent="0.3">
      <c r="A3" s="4" t="s">
        <v>38</v>
      </c>
      <c r="B3" t="s">
        <v>40</v>
      </c>
    </row>
    <row r="4" spans="1:2" x14ac:dyDescent="0.3">
      <c r="A4" s="5" t="s">
        <v>14</v>
      </c>
      <c r="B4">
        <v>89.181818181818187</v>
      </c>
    </row>
    <row r="5" spans="1:2" x14ac:dyDescent="0.3">
      <c r="A5" s="5" t="s">
        <v>23</v>
      </c>
      <c r="B5">
        <v>86.7</v>
      </c>
    </row>
    <row r="6" spans="1:2" x14ac:dyDescent="0.3">
      <c r="A6" s="5" t="s">
        <v>33</v>
      </c>
      <c r="B6">
        <v>75</v>
      </c>
    </row>
    <row r="7" spans="1:2" x14ac:dyDescent="0.3">
      <c r="A7" s="5" t="s">
        <v>26</v>
      </c>
      <c r="B7">
        <v>89.4</v>
      </c>
    </row>
    <row r="8" spans="1:2" x14ac:dyDescent="0.3">
      <c r="A8" s="5" t="s">
        <v>39</v>
      </c>
      <c r="B8">
        <v>86.914285714285711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A3EED-F510-4872-8B55-02A348058AF2}">
  <dimension ref="A3:B6"/>
  <sheetViews>
    <sheetView workbookViewId="0">
      <selection activeCell="J27" sqref="J27"/>
    </sheetView>
  </sheetViews>
  <sheetFormatPr defaultRowHeight="14.4" x14ac:dyDescent="0.3"/>
  <cols>
    <col min="1" max="1" width="12.44140625" bestFit="1" customWidth="1"/>
    <col min="2" max="2" width="16.21875" bestFit="1" customWidth="1"/>
  </cols>
  <sheetData>
    <row r="3" spans="1:2" x14ac:dyDescent="0.3">
      <c r="A3" s="4" t="s">
        <v>38</v>
      </c>
      <c r="B3" t="s">
        <v>46</v>
      </c>
    </row>
    <row r="4" spans="1:2" x14ac:dyDescent="0.3">
      <c r="A4" s="5" t="s">
        <v>13</v>
      </c>
      <c r="B4">
        <v>1914</v>
      </c>
    </row>
    <row r="5" spans="1:2" x14ac:dyDescent="0.3">
      <c r="A5" s="5" t="s">
        <v>20</v>
      </c>
      <c r="B5">
        <v>1808</v>
      </c>
    </row>
    <row r="6" spans="1:2" x14ac:dyDescent="0.3">
      <c r="A6" s="5" t="s">
        <v>39</v>
      </c>
      <c r="B6">
        <v>3722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677B6-6868-42E3-A4C5-B8699346F655}">
  <dimension ref="A1:O36"/>
  <sheetViews>
    <sheetView topLeftCell="A12" zoomScale="71" workbookViewId="0">
      <selection activeCell="R15" sqref="R15"/>
    </sheetView>
  </sheetViews>
  <sheetFormatPr defaultRowHeight="14.4" x14ac:dyDescent="0.3"/>
  <cols>
    <col min="1" max="1" width="24.5546875" customWidth="1"/>
    <col min="2" max="2" width="16.44140625" customWidth="1"/>
    <col min="3" max="3" width="18.5546875" customWidth="1"/>
    <col min="4" max="4" width="19.44140625" customWidth="1"/>
    <col min="5" max="5" width="22.21875" customWidth="1"/>
    <col min="6" max="7" width="19.88671875" customWidth="1"/>
    <col min="8" max="8" width="20.6640625" customWidth="1"/>
    <col min="9" max="9" width="21.5546875" customWidth="1"/>
    <col min="10" max="10" width="24.44140625" customWidth="1"/>
    <col min="11" max="11" width="23.88671875" customWidth="1"/>
    <col min="12" max="12" width="19.88671875" customWidth="1"/>
    <col min="13" max="13" width="19.77734375" customWidth="1"/>
    <col min="14" max="14" width="20.77734375" customWidth="1"/>
    <col min="15" max="15" width="12.77734375" customWidth="1"/>
  </cols>
  <sheetData>
    <row r="1" spans="1:15" ht="18" x14ac:dyDescent="0.3">
      <c r="A1" s="1" t="s">
        <v>0</v>
      </c>
      <c r="B1" s="1" t="s">
        <v>1</v>
      </c>
      <c r="C1" s="1" t="s">
        <v>2</v>
      </c>
      <c r="D1" s="1" t="s">
        <v>3</v>
      </c>
      <c r="E1" s="1" t="s">
        <v>4</v>
      </c>
      <c r="F1" s="1" t="s">
        <v>5</v>
      </c>
      <c r="G1" s="1" t="s">
        <v>6</v>
      </c>
      <c r="H1" s="1" t="s">
        <v>7</v>
      </c>
      <c r="I1" s="1" t="s">
        <v>8</v>
      </c>
      <c r="J1" s="1" t="s">
        <v>9</v>
      </c>
      <c r="K1" s="1" t="s">
        <v>10</v>
      </c>
      <c r="L1" s="1" t="s">
        <v>11</v>
      </c>
      <c r="M1" s="1" t="s">
        <v>37</v>
      </c>
      <c r="N1" s="1" t="s">
        <v>35</v>
      </c>
      <c r="O1" s="1" t="s">
        <v>36</v>
      </c>
    </row>
    <row r="2" spans="1:15" ht="18" x14ac:dyDescent="0.35">
      <c r="A2" s="2">
        <v>101</v>
      </c>
      <c r="B2" s="2" t="s">
        <v>12</v>
      </c>
      <c r="C2" s="2" t="s">
        <v>13</v>
      </c>
      <c r="D2" s="2" t="s">
        <v>14</v>
      </c>
      <c r="E2" s="2">
        <v>1</v>
      </c>
      <c r="F2" s="2" t="s">
        <v>15</v>
      </c>
      <c r="G2" s="2">
        <v>24</v>
      </c>
      <c r="H2" s="2">
        <v>60</v>
      </c>
      <c r="I2" s="2">
        <v>92</v>
      </c>
      <c r="J2" s="2">
        <v>12</v>
      </c>
      <c r="K2" s="2">
        <v>5</v>
      </c>
      <c r="L2" s="2" t="s">
        <v>16</v>
      </c>
      <c r="M2" s="3">
        <f>G2+H2</f>
        <v>84</v>
      </c>
      <c r="N2" s="3">
        <f>I2</f>
        <v>92</v>
      </c>
      <c r="O2" s="3" t="str">
        <f>IF(I2&gt;=90,"A+",IF(I2&gt;=80,"A",IF(I2&gt;=70,"B",IF(I2&gt;=60,"C","D"))))</f>
        <v>A+</v>
      </c>
    </row>
    <row r="3" spans="1:15" ht="18" x14ac:dyDescent="0.35">
      <c r="A3" s="2">
        <v>101</v>
      </c>
      <c r="B3" s="2" t="s">
        <v>12</v>
      </c>
      <c r="C3" s="2" t="s">
        <v>13</v>
      </c>
      <c r="D3" s="2" t="s">
        <v>14</v>
      </c>
      <c r="E3" s="2">
        <v>1</v>
      </c>
      <c r="F3" s="2" t="s">
        <v>17</v>
      </c>
      <c r="G3" s="2">
        <v>22</v>
      </c>
      <c r="H3" s="2">
        <v>58</v>
      </c>
      <c r="I3" s="2">
        <v>92</v>
      </c>
      <c r="J3" s="2">
        <v>12</v>
      </c>
      <c r="K3" s="2">
        <v>5</v>
      </c>
      <c r="L3" s="2" t="s">
        <v>16</v>
      </c>
      <c r="M3" s="3">
        <f t="shared" ref="M3:M36" si="0">G3+H3</f>
        <v>80</v>
      </c>
      <c r="N3" s="3">
        <f t="shared" ref="N3:N36" si="1">I3</f>
        <v>92</v>
      </c>
      <c r="O3" s="3" t="str">
        <f t="shared" ref="O3:O36" si="2">IF(I3&gt;=90,"A+",IF(I3&gt;=80,"A",IF(I3&gt;=70,"B",IF(I3&gt;=60,"C","D"))))</f>
        <v>A+</v>
      </c>
    </row>
    <row r="4" spans="1:15" ht="18" x14ac:dyDescent="0.35">
      <c r="A4" s="2">
        <v>101</v>
      </c>
      <c r="B4" s="2" t="s">
        <v>12</v>
      </c>
      <c r="C4" s="2" t="s">
        <v>13</v>
      </c>
      <c r="D4" s="2" t="s">
        <v>14</v>
      </c>
      <c r="E4" s="2">
        <v>1</v>
      </c>
      <c r="F4" s="2" t="s">
        <v>18</v>
      </c>
      <c r="G4" s="2">
        <v>23</v>
      </c>
      <c r="H4" s="2">
        <v>55</v>
      </c>
      <c r="I4" s="2">
        <v>92</v>
      </c>
      <c r="J4" s="2">
        <v>12</v>
      </c>
      <c r="K4" s="2">
        <v>5</v>
      </c>
      <c r="L4" s="2" t="s">
        <v>16</v>
      </c>
      <c r="M4" s="3">
        <f t="shared" si="0"/>
        <v>78</v>
      </c>
      <c r="N4" s="3">
        <f t="shared" si="1"/>
        <v>92</v>
      </c>
      <c r="O4" s="3" t="str">
        <f t="shared" si="2"/>
        <v>A+</v>
      </c>
    </row>
    <row r="5" spans="1:15" ht="18" x14ac:dyDescent="0.35">
      <c r="A5" s="2">
        <v>102</v>
      </c>
      <c r="B5" s="2" t="s">
        <v>19</v>
      </c>
      <c r="C5" s="2" t="s">
        <v>20</v>
      </c>
      <c r="D5" s="2" t="s">
        <v>14</v>
      </c>
      <c r="E5" s="2">
        <v>1</v>
      </c>
      <c r="F5" s="2" t="s">
        <v>15</v>
      </c>
      <c r="G5" s="2">
        <v>18</v>
      </c>
      <c r="H5" s="2">
        <v>50</v>
      </c>
      <c r="I5" s="2">
        <v>85</v>
      </c>
      <c r="J5" s="2">
        <v>8</v>
      </c>
      <c r="K5" s="2">
        <v>4</v>
      </c>
      <c r="L5" s="2" t="s">
        <v>21</v>
      </c>
      <c r="M5" s="3">
        <f t="shared" si="0"/>
        <v>68</v>
      </c>
      <c r="N5" s="3">
        <f t="shared" si="1"/>
        <v>85</v>
      </c>
      <c r="O5" s="3" t="str">
        <f t="shared" si="2"/>
        <v>A</v>
      </c>
    </row>
    <row r="6" spans="1:15" ht="18" x14ac:dyDescent="0.35">
      <c r="A6" s="2">
        <v>102</v>
      </c>
      <c r="B6" s="2" t="s">
        <v>19</v>
      </c>
      <c r="C6" s="2" t="s">
        <v>20</v>
      </c>
      <c r="D6" s="2" t="s">
        <v>14</v>
      </c>
      <c r="E6" s="2">
        <v>1</v>
      </c>
      <c r="F6" s="2" t="s">
        <v>17</v>
      </c>
      <c r="G6" s="2">
        <v>20</v>
      </c>
      <c r="H6" s="2">
        <v>48</v>
      </c>
      <c r="I6" s="2">
        <v>85</v>
      </c>
      <c r="J6" s="2">
        <v>8</v>
      </c>
      <c r="K6" s="2">
        <v>4</v>
      </c>
      <c r="L6" s="2" t="s">
        <v>21</v>
      </c>
      <c r="M6" s="3">
        <f t="shared" si="0"/>
        <v>68</v>
      </c>
      <c r="N6" s="3">
        <f t="shared" si="1"/>
        <v>85</v>
      </c>
      <c r="O6" s="3" t="str">
        <f t="shared" si="2"/>
        <v>A</v>
      </c>
    </row>
    <row r="7" spans="1:15" ht="18" x14ac:dyDescent="0.35">
      <c r="A7" s="2">
        <v>102</v>
      </c>
      <c r="B7" s="2" t="s">
        <v>19</v>
      </c>
      <c r="C7" s="2" t="s">
        <v>20</v>
      </c>
      <c r="D7" s="2" t="s">
        <v>14</v>
      </c>
      <c r="E7" s="2">
        <v>1</v>
      </c>
      <c r="F7" s="2" t="s">
        <v>18</v>
      </c>
      <c r="G7" s="2">
        <v>19</v>
      </c>
      <c r="H7" s="2">
        <v>45</v>
      </c>
      <c r="I7" s="2">
        <v>85</v>
      </c>
      <c r="J7" s="2">
        <v>8</v>
      </c>
      <c r="K7" s="2">
        <v>4</v>
      </c>
      <c r="L7" s="2" t="s">
        <v>21</v>
      </c>
      <c r="M7" s="3">
        <f t="shared" si="0"/>
        <v>64</v>
      </c>
      <c r="N7" s="3">
        <f t="shared" si="1"/>
        <v>85</v>
      </c>
      <c r="O7" s="3" t="str">
        <f t="shared" si="2"/>
        <v>A</v>
      </c>
    </row>
    <row r="8" spans="1:15" ht="18" x14ac:dyDescent="0.35">
      <c r="A8" s="2">
        <v>103</v>
      </c>
      <c r="B8" s="2" t="s">
        <v>22</v>
      </c>
      <c r="C8" s="2" t="s">
        <v>13</v>
      </c>
      <c r="D8" s="2" t="s">
        <v>23</v>
      </c>
      <c r="E8" s="2">
        <v>1</v>
      </c>
      <c r="F8" s="2" t="s">
        <v>15</v>
      </c>
      <c r="G8" s="2">
        <v>26</v>
      </c>
      <c r="H8" s="2">
        <v>63</v>
      </c>
      <c r="I8" s="2">
        <v>95</v>
      </c>
      <c r="J8" s="2">
        <v>14</v>
      </c>
      <c r="K8" s="2">
        <v>5</v>
      </c>
      <c r="L8" s="2" t="s">
        <v>16</v>
      </c>
      <c r="M8" s="3">
        <f t="shared" si="0"/>
        <v>89</v>
      </c>
      <c r="N8" s="3">
        <f t="shared" si="1"/>
        <v>95</v>
      </c>
      <c r="O8" s="3" t="str">
        <f t="shared" si="2"/>
        <v>A+</v>
      </c>
    </row>
    <row r="9" spans="1:15" ht="18" x14ac:dyDescent="0.35">
      <c r="A9" s="2">
        <v>103</v>
      </c>
      <c r="B9" s="2" t="s">
        <v>22</v>
      </c>
      <c r="C9" s="2" t="s">
        <v>13</v>
      </c>
      <c r="D9" s="2" t="s">
        <v>23</v>
      </c>
      <c r="E9" s="2">
        <v>1</v>
      </c>
      <c r="F9" s="2" t="s">
        <v>17</v>
      </c>
      <c r="G9" s="2">
        <v>25</v>
      </c>
      <c r="H9" s="2">
        <v>60</v>
      </c>
      <c r="I9" s="2">
        <v>95</v>
      </c>
      <c r="J9" s="2">
        <v>14</v>
      </c>
      <c r="K9" s="2">
        <v>5</v>
      </c>
      <c r="L9" s="2" t="s">
        <v>16</v>
      </c>
      <c r="M9" s="3">
        <f t="shared" si="0"/>
        <v>85</v>
      </c>
      <c r="N9" s="3">
        <f t="shared" si="1"/>
        <v>95</v>
      </c>
      <c r="O9" s="3" t="str">
        <f t="shared" si="2"/>
        <v>A+</v>
      </c>
    </row>
    <row r="10" spans="1:15" ht="18" x14ac:dyDescent="0.35">
      <c r="A10" s="2">
        <v>103</v>
      </c>
      <c r="B10" s="2" t="s">
        <v>22</v>
      </c>
      <c r="C10" s="2" t="s">
        <v>13</v>
      </c>
      <c r="D10" s="2" t="s">
        <v>23</v>
      </c>
      <c r="E10" s="2">
        <v>1</v>
      </c>
      <c r="F10" s="2" t="s">
        <v>18</v>
      </c>
      <c r="G10" s="2">
        <v>24</v>
      </c>
      <c r="H10" s="2">
        <v>58</v>
      </c>
      <c r="I10" s="2">
        <v>95</v>
      </c>
      <c r="J10" s="2">
        <v>14</v>
      </c>
      <c r="K10" s="2">
        <v>5</v>
      </c>
      <c r="L10" s="2" t="s">
        <v>16</v>
      </c>
      <c r="M10" s="3">
        <f t="shared" si="0"/>
        <v>82</v>
      </c>
      <c r="N10" s="3">
        <f t="shared" si="1"/>
        <v>95</v>
      </c>
      <c r="O10" s="3" t="str">
        <f t="shared" si="2"/>
        <v>A+</v>
      </c>
    </row>
    <row r="11" spans="1:15" ht="18" x14ac:dyDescent="0.35">
      <c r="A11" s="2">
        <v>104</v>
      </c>
      <c r="B11" s="2" t="s">
        <v>24</v>
      </c>
      <c r="C11" s="2" t="s">
        <v>20</v>
      </c>
      <c r="D11" s="2" t="s">
        <v>23</v>
      </c>
      <c r="E11" s="2">
        <v>1</v>
      </c>
      <c r="F11" s="2" t="s">
        <v>15</v>
      </c>
      <c r="G11" s="2">
        <v>15</v>
      </c>
      <c r="H11" s="2">
        <v>40</v>
      </c>
      <c r="I11" s="2">
        <v>78</v>
      </c>
      <c r="J11" s="2">
        <v>6</v>
      </c>
      <c r="K11" s="2">
        <v>3</v>
      </c>
      <c r="L11" s="2" t="s">
        <v>21</v>
      </c>
      <c r="M11" s="3">
        <f t="shared" si="0"/>
        <v>55</v>
      </c>
      <c r="N11" s="3">
        <f t="shared" si="1"/>
        <v>78</v>
      </c>
      <c r="O11" s="3" t="str">
        <f t="shared" si="2"/>
        <v>B</v>
      </c>
    </row>
    <row r="12" spans="1:15" ht="18" x14ac:dyDescent="0.35">
      <c r="A12" s="2">
        <v>104</v>
      </c>
      <c r="B12" s="2" t="s">
        <v>24</v>
      </c>
      <c r="C12" s="2" t="s">
        <v>20</v>
      </c>
      <c r="D12" s="2" t="s">
        <v>23</v>
      </c>
      <c r="E12" s="2">
        <v>1</v>
      </c>
      <c r="F12" s="2" t="s">
        <v>17</v>
      </c>
      <c r="G12" s="2">
        <v>17</v>
      </c>
      <c r="H12" s="2">
        <v>42</v>
      </c>
      <c r="I12" s="2">
        <v>78</v>
      </c>
      <c r="J12" s="2">
        <v>6</v>
      </c>
      <c r="K12" s="2">
        <v>3</v>
      </c>
      <c r="L12" s="2" t="s">
        <v>21</v>
      </c>
      <c r="M12" s="3">
        <f t="shared" si="0"/>
        <v>59</v>
      </c>
      <c r="N12" s="3">
        <f t="shared" si="1"/>
        <v>78</v>
      </c>
      <c r="O12" s="3" t="str">
        <f t="shared" si="2"/>
        <v>B</v>
      </c>
    </row>
    <row r="13" spans="1:15" ht="18" x14ac:dyDescent="0.35">
      <c r="A13" s="2">
        <v>104</v>
      </c>
      <c r="B13" s="2" t="s">
        <v>24</v>
      </c>
      <c r="C13" s="2" t="s">
        <v>20</v>
      </c>
      <c r="D13" s="2" t="s">
        <v>23</v>
      </c>
      <c r="E13" s="2">
        <v>1</v>
      </c>
      <c r="F13" s="2" t="s">
        <v>18</v>
      </c>
      <c r="G13" s="2">
        <v>18</v>
      </c>
      <c r="H13" s="2">
        <v>44</v>
      </c>
      <c r="I13" s="2">
        <v>78</v>
      </c>
      <c r="J13" s="2">
        <v>6</v>
      </c>
      <c r="K13" s="2">
        <v>3</v>
      </c>
      <c r="L13" s="2" t="s">
        <v>21</v>
      </c>
      <c r="M13" s="3">
        <f t="shared" si="0"/>
        <v>62</v>
      </c>
      <c r="N13" s="3">
        <f t="shared" si="1"/>
        <v>78</v>
      </c>
      <c r="O13" s="3" t="str">
        <f t="shared" si="2"/>
        <v>B</v>
      </c>
    </row>
    <row r="14" spans="1:15" ht="18" x14ac:dyDescent="0.35">
      <c r="A14" s="2">
        <v>105</v>
      </c>
      <c r="B14" s="2" t="s">
        <v>25</v>
      </c>
      <c r="C14" s="2" t="s">
        <v>13</v>
      </c>
      <c r="D14" s="2" t="s">
        <v>26</v>
      </c>
      <c r="E14" s="2">
        <v>1</v>
      </c>
      <c r="F14" s="2" t="s">
        <v>15</v>
      </c>
      <c r="G14" s="2">
        <v>23</v>
      </c>
      <c r="H14" s="2">
        <v>59</v>
      </c>
      <c r="I14" s="2">
        <v>88</v>
      </c>
      <c r="J14" s="2">
        <v>11</v>
      </c>
      <c r="K14" s="2">
        <v>4</v>
      </c>
      <c r="L14" s="2" t="s">
        <v>16</v>
      </c>
      <c r="M14" s="3">
        <f t="shared" si="0"/>
        <v>82</v>
      </c>
      <c r="N14" s="3">
        <f t="shared" si="1"/>
        <v>88</v>
      </c>
      <c r="O14" s="3" t="str">
        <f t="shared" si="2"/>
        <v>A</v>
      </c>
    </row>
    <row r="15" spans="1:15" ht="18" x14ac:dyDescent="0.35">
      <c r="A15" s="2">
        <v>105</v>
      </c>
      <c r="B15" s="2" t="s">
        <v>25</v>
      </c>
      <c r="C15" s="2" t="s">
        <v>13</v>
      </c>
      <c r="D15" s="2" t="s">
        <v>26</v>
      </c>
      <c r="E15" s="2">
        <v>1</v>
      </c>
      <c r="F15" s="2" t="s">
        <v>17</v>
      </c>
      <c r="G15" s="2">
        <v>21</v>
      </c>
      <c r="H15" s="2">
        <v>56</v>
      </c>
      <c r="I15" s="2">
        <v>88</v>
      </c>
      <c r="J15" s="2">
        <v>11</v>
      </c>
      <c r="K15" s="2">
        <v>4</v>
      </c>
      <c r="L15" s="2" t="s">
        <v>16</v>
      </c>
      <c r="M15" s="3">
        <f t="shared" si="0"/>
        <v>77</v>
      </c>
      <c r="N15" s="3">
        <f t="shared" si="1"/>
        <v>88</v>
      </c>
      <c r="O15" s="3" t="str">
        <f t="shared" si="2"/>
        <v>A</v>
      </c>
    </row>
    <row r="16" spans="1:15" ht="18" x14ac:dyDescent="0.35">
      <c r="A16" s="2">
        <v>105</v>
      </c>
      <c r="B16" s="2" t="s">
        <v>25</v>
      </c>
      <c r="C16" s="2" t="s">
        <v>13</v>
      </c>
      <c r="D16" s="2" t="s">
        <v>26</v>
      </c>
      <c r="E16" s="2">
        <v>1</v>
      </c>
      <c r="F16" s="2" t="s">
        <v>18</v>
      </c>
      <c r="G16" s="2">
        <v>22</v>
      </c>
      <c r="H16" s="2">
        <v>54</v>
      </c>
      <c r="I16" s="2">
        <v>88</v>
      </c>
      <c r="J16" s="2">
        <v>11</v>
      </c>
      <c r="K16" s="2">
        <v>4</v>
      </c>
      <c r="L16" s="2" t="s">
        <v>16</v>
      </c>
      <c r="M16" s="3">
        <f t="shared" si="0"/>
        <v>76</v>
      </c>
      <c r="N16" s="3">
        <f t="shared" si="1"/>
        <v>88</v>
      </c>
      <c r="O16" s="3" t="str">
        <f t="shared" si="2"/>
        <v>A</v>
      </c>
    </row>
    <row r="17" spans="1:15" ht="18" x14ac:dyDescent="0.35">
      <c r="A17" s="2">
        <v>106</v>
      </c>
      <c r="B17" s="2" t="s">
        <v>27</v>
      </c>
      <c r="C17" s="2" t="s">
        <v>20</v>
      </c>
      <c r="D17" s="2" t="s">
        <v>26</v>
      </c>
      <c r="E17" s="2">
        <v>1</v>
      </c>
      <c r="F17" s="2" t="s">
        <v>15</v>
      </c>
      <c r="G17" s="2">
        <v>16</v>
      </c>
      <c r="H17" s="2">
        <v>46</v>
      </c>
      <c r="I17" s="2">
        <v>82</v>
      </c>
      <c r="J17" s="2">
        <v>7</v>
      </c>
      <c r="K17" s="2">
        <v>3</v>
      </c>
      <c r="L17" s="2" t="s">
        <v>21</v>
      </c>
      <c r="M17" s="3">
        <f t="shared" si="0"/>
        <v>62</v>
      </c>
      <c r="N17" s="3">
        <f t="shared" si="1"/>
        <v>82</v>
      </c>
      <c r="O17" s="3" t="str">
        <f t="shared" si="2"/>
        <v>A</v>
      </c>
    </row>
    <row r="18" spans="1:15" ht="18" x14ac:dyDescent="0.35">
      <c r="A18" s="2">
        <v>106</v>
      </c>
      <c r="B18" s="2" t="s">
        <v>27</v>
      </c>
      <c r="C18" s="2" t="s">
        <v>20</v>
      </c>
      <c r="D18" s="2" t="s">
        <v>26</v>
      </c>
      <c r="E18" s="2">
        <v>1</v>
      </c>
      <c r="F18" s="2" t="s">
        <v>17</v>
      </c>
      <c r="G18" s="2">
        <v>18</v>
      </c>
      <c r="H18" s="2">
        <v>48</v>
      </c>
      <c r="I18" s="2">
        <v>82</v>
      </c>
      <c r="J18" s="2">
        <v>7</v>
      </c>
      <c r="K18" s="2">
        <v>3</v>
      </c>
      <c r="L18" s="2" t="s">
        <v>21</v>
      </c>
      <c r="M18" s="3">
        <f t="shared" si="0"/>
        <v>66</v>
      </c>
      <c r="N18" s="3">
        <f t="shared" si="1"/>
        <v>82</v>
      </c>
      <c r="O18" s="3" t="str">
        <f t="shared" si="2"/>
        <v>A</v>
      </c>
    </row>
    <row r="19" spans="1:15" ht="18" x14ac:dyDescent="0.35">
      <c r="A19" s="2">
        <v>106</v>
      </c>
      <c r="B19" s="2" t="s">
        <v>27</v>
      </c>
      <c r="C19" s="2" t="s">
        <v>20</v>
      </c>
      <c r="D19" s="2" t="s">
        <v>26</v>
      </c>
      <c r="E19" s="2">
        <v>1</v>
      </c>
      <c r="F19" s="2" t="s">
        <v>18</v>
      </c>
      <c r="G19" s="2">
        <v>17</v>
      </c>
      <c r="H19" s="2">
        <v>45</v>
      </c>
      <c r="I19" s="2">
        <v>82</v>
      </c>
      <c r="J19" s="2">
        <v>7</v>
      </c>
      <c r="K19" s="2">
        <v>3</v>
      </c>
      <c r="L19" s="2" t="s">
        <v>21</v>
      </c>
      <c r="M19" s="3">
        <f t="shared" si="0"/>
        <v>62</v>
      </c>
      <c r="N19" s="3">
        <f t="shared" si="1"/>
        <v>82</v>
      </c>
      <c r="O19" s="3" t="str">
        <f t="shared" si="2"/>
        <v>A</v>
      </c>
    </row>
    <row r="20" spans="1:15" ht="18" x14ac:dyDescent="0.35">
      <c r="A20" s="2">
        <v>107</v>
      </c>
      <c r="B20" s="2" t="s">
        <v>28</v>
      </c>
      <c r="C20" s="2" t="s">
        <v>13</v>
      </c>
      <c r="D20" s="2" t="s">
        <v>14</v>
      </c>
      <c r="E20" s="2">
        <v>2</v>
      </c>
      <c r="F20" s="2" t="s">
        <v>29</v>
      </c>
      <c r="G20" s="2">
        <v>22</v>
      </c>
      <c r="H20" s="2">
        <v>55</v>
      </c>
      <c r="I20" s="2">
        <v>94</v>
      </c>
      <c r="J20" s="2">
        <v>13</v>
      </c>
      <c r="K20" s="2">
        <v>5</v>
      </c>
      <c r="L20" s="2" t="s">
        <v>16</v>
      </c>
      <c r="M20" s="3">
        <f t="shared" si="0"/>
        <v>77</v>
      </c>
      <c r="N20" s="3">
        <f t="shared" si="1"/>
        <v>94</v>
      </c>
      <c r="O20" s="3" t="str">
        <f t="shared" si="2"/>
        <v>A+</v>
      </c>
    </row>
    <row r="21" spans="1:15" ht="18" x14ac:dyDescent="0.35">
      <c r="A21" s="2">
        <v>108</v>
      </c>
      <c r="B21" s="2" t="s">
        <v>30</v>
      </c>
      <c r="C21" s="2" t="s">
        <v>20</v>
      </c>
      <c r="D21" s="2" t="s">
        <v>23</v>
      </c>
      <c r="E21" s="2">
        <v>2</v>
      </c>
      <c r="F21" s="2" t="s">
        <v>15</v>
      </c>
      <c r="G21" s="2">
        <v>19</v>
      </c>
      <c r="H21" s="2">
        <v>52</v>
      </c>
      <c r="I21" s="2">
        <v>87</v>
      </c>
      <c r="J21" s="2">
        <v>9</v>
      </c>
      <c r="K21" s="2">
        <v>4</v>
      </c>
      <c r="L21" s="2" t="s">
        <v>21</v>
      </c>
      <c r="M21" s="3">
        <f t="shared" si="0"/>
        <v>71</v>
      </c>
      <c r="N21" s="3">
        <f t="shared" si="1"/>
        <v>87</v>
      </c>
      <c r="O21" s="3" t="str">
        <f t="shared" si="2"/>
        <v>A</v>
      </c>
    </row>
    <row r="22" spans="1:15" ht="18" x14ac:dyDescent="0.35">
      <c r="A22" s="2">
        <v>108</v>
      </c>
      <c r="B22" s="2" t="s">
        <v>30</v>
      </c>
      <c r="C22" s="2" t="s">
        <v>20</v>
      </c>
      <c r="D22" s="2" t="s">
        <v>23</v>
      </c>
      <c r="E22" s="2">
        <v>2</v>
      </c>
      <c r="F22" s="2" t="s">
        <v>17</v>
      </c>
      <c r="G22" s="2">
        <v>18</v>
      </c>
      <c r="H22" s="2">
        <v>50</v>
      </c>
      <c r="I22" s="2">
        <v>87</v>
      </c>
      <c r="J22" s="2">
        <v>9</v>
      </c>
      <c r="K22" s="2">
        <v>4</v>
      </c>
      <c r="L22" s="2" t="s">
        <v>21</v>
      </c>
      <c r="M22" s="3">
        <f t="shared" si="0"/>
        <v>68</v>
      </c>
      <c r="N22" s="3">
        <f t="shared" si="1"/>
        <v>87</v>
      </c>
      <c r="O22" s="3" t="str">
        <f t="shared" si="2"/>
        <v>A</v>
      </c>
    </row>
    <row r="23" spans="1:15" ht="18" x14ac:dyDescent="0.35">
      <c r="A23" s="2">
        <v>108</v>
      </c>
      <c r="B23" s="2" t="s">
        <v>30</v>
      </c>
      <c r="C23" s="2" t="s">
        <v>20</v>
      </c>
      <c r="D23" s="2" t="s">
        <v>23</v>
      </c>
      <c r="E23" s="2">
        <v>2</v>
      </c>
      <c r="F23" s="2" t="s">
        <v>18</v>
      </c>
      <c r="G23" s="2">
        <v>17</v>
      </c>
      <c r="H23" s="2">
        <v>48</v>
      </c>
      <c r="I23" s="2">
        <v>87</v>
      </c>
      <c r="J23" s="2">
        <v>9</v>
      </c>
      <c r="K23" s="2">
        <v>4</v>
      </c>
      <c r="L23" s="2" t="s">
        <v>21</v>
      </c>
      <c r="M23" s="3">
        <f t="shared" si="0"/>
        <v>65</v>
      </c>
      <c r="N23" s="3">
        <f t="shared" si="1"/>
        <v>87</v>
      </c>
      <c r="O23" s="3" t="str">
        <f t="shared" si="2"/>
        <v>A</v>
      </c>
    </row>
    <row r="24" spans="1:15" ht="18" x14ac:dyDescent="0.35">
      <c r="A24" s="2">
        <v>108</v>
      </c>
      <c r="B24" s="2" t="s">
        <v>30</v>
      </c>
      <c r="C24" s="2" t="s">
        <v>20</v>
      </c>
      <c r="D24" s="2" t="s">
        <v>23</v>
      </c>
      <c r="E24" s="2">
        <v>2</v>
      </c>
      <c r="F24" s="2" t="s">
        <v>29</v>
      </c>
      <c r="G24" s="2">
        <v>16</v>
      </c>
      <c r="H24" s="2">
        <v>45</v>
      </c>
      <c r="I24" s="2">
        <v>87</v>
      </c>
      <c r="J24" s="2">
        <v>9</v>
      </c>
      <c r="K24" s="2">
        <v>4</v>
      </c>
      <c r="L24" s="2" t="s">
        <v>21</v>
      </c>
      <c r="M24" s="3">
        <f t="shared" si="0"/>
        <v>61</v>
      </c>
      <c r="N24" s="3">
        <f t="shared" si="1"/>
        <v>87</v>
      </c>
      <c r="O24" s="3" t="str">
        <f t="shared" si="2"/>
        <v>A</v>
      </c>
    </row>
    <row r="25" spans="1:15" ht="18" x14ac:dyDescent="0.35">
      <c r="A25" s="2">
        <v>109</v>
      </c>
      <c r="B25" s="2" t="s">
        <v>31</v>
      </c>
      <c r="C25" s="2" t="s">
        <v>13</v>
      </c>
      <c r="D25" s="2" t="s">
        <v>26</v>
      </c>
      <c r="E25" s="2">
        <v>2</v>
      </c>
      <c r="F25" s="2" t="s">
        <v>15</v>
      </c>
      <c r="G25" s="2">
        <v>26</v>
      </c>
      <c r="H25" s="2">
        <v>64</v>
      </c>
      <c r="I25" s="2">
        <v>96</v>
      </c>
      <c r="J25" s="2">
        <v>15</v>
      </c>
      <c r="K25" s="2">
        <v>5</v>
      </c>
      <c r="L25" s="2" t="s">
        <v>16</v>
      </c>
      <c r="M25" s="3">
        <f t="shared" si="0"/>
        <v>90</v>
      </c>
      <c r="N25" s="3">
        <f t="shared" si="1"/>
        <v>96</v>
      </c>
      <c r="O25" s="3" t="str">
        <f t="shared" si="2"/>
        <v>A+</v>
      </c>
    </row>
    <row r="26" spans="1:15" ht="18" x14ac:dyDescent="0.35">
      <c r="A26" s="2">
        <v>109</v>
      </c>
      <c r="B26" s="2" t="s">
        <v>31</v>
      </c>
      <c r="C26" s="2" t="s">
        <v>13</v>
      </c>
      <c r="D26" s="2" t="s">
        <v>26</v>
      </c>
      <c r="E26" s="2">
        <v>2</v>
      </c>
      <c r="F26" s="2" t="s">
        <v>17</v>
      </c>
      <c r="G26" s="2">
        <v>25</v>
      </c>
      <c r="H26" s="2">
        <v>61</v>
      </c>
      <c r="I26" s="2">
        <v>96</v>
      </c>
      <c r="J26" s="2">
        <v>15</v>
      </c>
      <c r="K26" s="2">
        <v>5</v>
      </c>
      <c r="L26" s="2" t="s">
        <v>16</v>
      </c>
      <c r="M26" s="3">
        <f t="shared" si="0"/>
        <v>86</v>
      </c>
      <c r="N26" s="3">
        <f t="shared" si="1"/>
        <v>96</v>
      </c>
      <c r="O26" s="3" t="str">
        <f t="shared" si="2"/>
        <v>A+</v>
      </c>
    </row>
    <row r="27" spans="1:15" ht="18" x14ac:dyDescent="0.35">
      <c r="A27" s="2">
        <v>109</v>
      </c>
      <c r="B27" s="2" t="s">
        <v>31</v>
      </c>
      <c r="C27" s="2" t="s">
        <v>13</v>
      </c>
      <c r="D27" s="2" t="s">
        <v>26</v>
      </c>
      <c r="E27" s="2">
        <v>2</v>
      </c>
      <c r="F27" s="2" t="s">
        <v>18</v>
      </c>
      <c r="G27" s="2">
        <v>24</v>
      </c>
      <c r="H27" s="2">
        <v>60</v>
      </c>
      <c r="I27" s="2">
        <v>96</v>
      </c>
      <c r="J27" s="2">
        <v>15</v>
      </c>
      <c r="K27" s="2">
        <v>5</v>
      </c>
      <c r="L27" s="2" t="s">
        <v>16</v>
      </c>
      <c r="M27" s="3">
        <f t="shared" si="0"/>
        <v>84</v>
      </c>
      <c r="N27" s="3">
        <f t="shared" si="1"/>
        <v>96</v>
      </c>
      <c r="O27" s="3" t="str">
        <f t="shared" si="2"/>
        <v>A+</v>
      </c>
    </row>
    <row r="28" spans="1:15" ht="18" x14ac:dyDescent="0.35">
      <c r="A28" s="2">
        <v>109</v>
      </c>
      <c r="B28" s="2" t="s">
        <v>31</v>
      </c>
      <c r="C28" s="2" t="s">
        <v>13</v>
      </c>
      <c r="D28" s="2" t="s">
        <v>26</v>
      </c>
      <c r="E28" s="2">
        <v>2</v>
      </c>
      <c r="F28" s="2" t="s">
        <v>29</v>
      </c>
      <c r="G28" s="2">
        <v>23</v>
      </c>
      <c r="H28" s="2">
        <v>58</v>
      </c>
      <c r="I28" s="2">
        <v>96</v>
      </c>
      <c r="J28" s="2">
        <v>15</v>
      </c>
      <c r="K28" s="2">
        <v>5</v>
      </c>
      <c r="L28" s="2" t="s">
        <v>16</v>
      </c>
      <c r="M28" s="3">
        <f t="shared" si="0"/>
        <v>81</v>
      </c>
      <c r="N28" s="3">
        <f t="shared" si="1"/>
        <v>96</v>
      </c>
      <c r="O28" s="3" t="str">
        <f t="shared" si="2"/>
        <v>A+</v>
      </c>
    </row>
    <row r="29" spans="1:15" ht="18" x14ac:dyDescent="0.35">
      <c r="A29" s="2">
        <v>110</v>
      </c>
      <c r="B29" s="2" t="s">
        <v>32</v>
      </c>
      <c r="C29" s="2" t="s">
        <v>20</v>
      </c>
      <c r="D29" s="2" t="s">
        <v>33</v>
      </c>
      <c r="E29" s="2">
        <v>2</v>
      </c>
      <c r="F29" s="2" t="s">
        <v>15</v>
      </c>
      <c r="G29" s="2">
        <v>14</v>
      </c>
      <c r="H29" s="2">
        <v>38</v>
      </c>
      <c r="I29" s="2">
        <v>75</v>
      </c>
      <c r="J29" s="2">
        <v>5</v>
      </c>
      <c r="K29" s="2">
        <v>2</v>
      </c>
      <c r="L29" s="2" t="s">
        <v>21</v>
      </c>
      <c r="M29" s="3">
        <f t="shared" si="0"/>
        <v>52</v>
      </c>
      <c r="N29" s="3">
        <f t="shared" si="1"/>
        <v>75</v>
      </c>
      <c r="O29" s="3" t="str">
        <f t="shared" si="2"/>
        <v>B</v>
      </c>
    </row>
    <row r="30" spans="1:15" ht="18" x14ac:dyDescent="0.35">
      <c r="A30" s="2">
        <v>110</v>
      </c>
      <c r="B30" s="2" t="s">
        <v>32</v>
      </c>
      <c r="C30" s="2" t="s">
        <v>20</v>
      </c>
      <c r="D30" s="2" t="s">
        <v>33</v>
      </c>
      <c r="E30" s="2">
        <v>2</v>
      </c>
      <c r="F30" s="2" t="s">
        <v>17</v>
      </c>
      <c r="G30" s="2">
        <v>15</v>
      </c>
      <c r="H30" s="2">
        <v>40</v>
      </c>
      <c r="I30" s="2">
        <v>75</v>
      </c>
      <c r="J30" s="2">
        <v>5</v>
      </c>
      <c r="K30" s="2">
        <v>2</v>
      </c>
      <c r="L30" s="2" t="s">
        <v>21</v>
      </c>
      <c r="M30" s="3">
        <f t="shared" si="0"/>
        <v>55</v>
      </c>
      <c r="N30" s="3">
        <f t="shared" si="1"/>
        <v>75</v>
      </c>
      <c r="O30" s="3" t="str">
        <f t="shared" si="2"/>
        <v>B</v>
      </c>
    </row>
    <row r="31" spans="1:15" ht="18" x14ac:dyDescent="0.35">
      <c r="A31" s="2">
        <v>110</v>
      </c>
      <c r="B31" s="2" t="s">
        <v>32</v>
      </c>
      <c r="C31" s="2" t="s">
        <v>20</v>
      </c>
      <c r="D31" s="2" t="s">
        <v>33</v>
      </c>
      <c r="E31" s="2">
        <v>2</v>
      </c>
      <c r="F31" s="2" t="s">
        <v>18</v>
      </c>
      <c r="G31" s="2">
        <v>16</v>
      </c>
      <c r="H31" s="2">
        <v>42</v>
      </c>
      <c r="I31" s="2">
        <v>75</v>
      </c>
      <c r="J31" s="2">
        <v>5</v>
      </c>
      <c r="K31" s="2">
        <v>2</v>
      </c>
      <c r="L31" s="2" t="s">
        <v>21</v>
      </c>
      <c r="M31" s="3">
        <f t="shared" si="0"/>
        <v>58</v>
      </c>
      <c r="N31" s="3">
        <f t="shared" si="1"/>
        <v>75</v>
      </c>
      <c r="O31" s="3" t="str">
        <f t="shared" si="2"/>
        <v>B</v>
      </c>
    </row>
    <row r="32" spans="1:15" ht="18" x14ac:dyDescent="0.35">
      <c r="A32" s="2">
        <v>110</v>
      </c>
      <c r="B32" s="2" t="s">
        <v>32</v>
      </c>
      <c r="C32" s="2" t="s">
        <v>20</v>
      </c>
      <c r="D32" s="2" t="s">
        <v>33</v>
      </c>
      <c r="E32" s="2">
        <v>2</v>
      </c>
      <c r="F32" s="2" t="s">
        <v>29</v>
      </c>
      <c r="G32" s="2">
        <v>17</v>
      </c>
      <c r="H32" s="2">
        <v>44</v>
      </c>
      <c r="I32" s="2">
        <v>75</v>
      </c>
      <c r="J32" s="2">
        <v>5</v>
      </c>
      <c r="K32" s="2">
        <v>2</v>
      </c>
      <c r="L32" s="2" t="s">
        <v>21</v>
      </c>
      <c r="M32" s="3">
        <f t="shared" si="0"/>
        <v>61</v>
      </c>
      <c r="N32" s="3">
        <f t="shared" si="1"/>
        <v>75</v>
      </c>
      <c r="O32" s="3" t="str">
        <f t="shared" si="2"/>
        <v>B</v>
      </c>
    </row>
    <row r="33" spans="1:15" ht="18" x14ac:dyDescent="0.35">
      <c r="A33" s="2">
        <v>111</v>
      </c>
      <c r="B33" s="2" t="s">
        <v>34</v>
      </c>
      <c r="C33" s="2" t="s">
        <v>13</v>
      </c>
      <c r="D33" s="2" t="s">
        <v>14</v>
      </c>
      <c r="E33" s="2">
        <v>2</v>
      </c>
      <c r="F33" s="2" t="s">
        <v>15</v>
      </c>
      <c r="G33" s="2">
        <v>21</v>
      </c>
      <c r="H33" s="2">
        <v>56</v>
      </c>
      <c r="I33" s="2">
        <v>89</v>
      </c>
      <c r="J33" s="2">
        <v>11</v>
      </c>
      <c r="K33" s="2">
        <v>4</v>
      </c>
      <c r="L33" s="2" t="s">
        <v>16</v>
      </c>
      <c r="M33" s="3">
        <f t="shared" si="0"/>
        <v>77</v>
      </c>
      <c r="N33" s="3">
        <f t="shared" si="1"/>
        <v>89</v>
      </c>
      <c r="O33" s="3" t="str">
        <f t="shared" si="2"/>
        <v>A</v>
      </c>
    </row>
    <row r="34" spans="1:15" ht="18" x14ac:dyDescent="0.35">
      <c r="A34" s="2">
        <v>111</v>
      </c>
      <c r="B34" s="2" t="s">
        <v>34</v>
      </c>
      <c r="C34" s="2" t="s">
        <v>13</v>
      </c>
      <c r="D34" s="2" t="s">
        <v>14</v>
      </c>
      <c r="E34" s="2">
        <v>2</v>
      </c>
      <c r="F34" s="2" t="s">
        <v>17</v>
      </c>
      <c r="G34" s="2">
        <v>22</v>
      </c>
      <c r="H34" s="2">
        <v>57</v>
      </c>
      <c r="I34" s="2">
        <v>89</v>
      </c>
      <c r="J34" s="2">
        <v>11</v>
      </c>
      <c r="K34" s="2">
        <v>4</v>
      </c>
      <c r="L34" s="2" t="s">
        <v>16</v>
      </c>
      <c r="M34" s="3">
        <f t="shared" si="0"/>
        <v>79</v>
      </c>
      <c r="N34" s="3">
        <f t="shared" si="1"/>
        <v>89</v>
      </c>
      <c r="O34" s="3" t="str">
        <f t="shared" si="2"/>
        <v>A</v>
      </c>
    </row>
    <row r="35" spans="1:15" ht="18" x14ac:dyDescent="0.35">
      <c r="A35" s="2">
        <v>111</v>
      </c>
      <c r="B35" s="2" t="s">
        <v>34</v>
      </c>
      <c r="C35" s="2" t="s">
        <v>13</v>
      </c>
      <c r="D35" s="2" t="s">
        <v>14</v>
      </c>
      <c r="E35" s="2">
        <v>2</v>
      </c>
      <c r="F35" s="2" t="s">
        <v>18</v>
      </c>
      <c r="G35" s="2">
        <v>20</v>
      </c>
      <c r="H35" s="2">
        <v>54</v>
      </c>
      <c r="I35" s="2">
        <v>89</v>
      </c>
      <c r="J35" s="2">
        <v>11</v>
      </c>
      <c r="K35" s="2">
        <v>4</v>
      </c>
      <c r="L35" s="2" t="s">
        <v>16</v>
      </c>
      <c r="M35" s="3">
        <f t="shared" si="0"/>
        <v>74</v>
      </c>
      <c r="N35" s="3">
        <f t="shared" si="1"/>
        <v>89</v>
      </c>
      <c r="O35" s="3" t="str">
        <f t="shared" si="2"/>
        <v>A</v>
      </c>
    </row>
    <row r="36" spans="1:15" ht="18" x14ac:dyDescent="0.35">
      <c r="A36" s="2">
        <v>111</v>
      </c>
      <c r="B36" s="2" t="s">
        <v>34</v>
      </c>
      <c r="C36" s="2" t="s">
        <v>13</v>
      </c>
      <c r="D36" s="2" t="s">
        <v>14</v>
      </c>
      <c r="E36" s="2">
        <v>2</v>
      </c>
      <c r="F36" s="2" t="s">
        <v>29</v>
      </c>
      <c r="G36" s="2">
        <v>19</v>
      </c>
      <c r="H36" s="2">
        <v>52</v>
      </c>
      <c r="I36" s="2">
        <v>89</v>
      </c>
      <c r="J36" s="2">
        <v>11</v>
      </c>
      <c r="K36" s="2">
        <v>4</v>
      </c>
      <c r="L36" s="2" t="s">
        <v>16</v>
      </c>
      <c r="M36" s="3">
        <f t="shared" si="0"/>
        <v>71</v>
      </c>
      <c r="N36" s="3">
        <f t="shared" si="1"/>
        <v>89</v>
      </c>
      <c r="O36" s="3" t="str">
        <f t="shared" si="2"/>
        <v>A</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dashboard</vt:lpstr>
      <vt:lpstr>Sheet4</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anam maria</dc:creator>
  <cp:lastModifiedBy>anam maria</cp:lastModifiedBy>
  <dcterms:created xsi:type="dcterms:W3CDTF">2026-02-24T14:36:02Z</dcterms:created>
  <dcterms:modified xsi:type="dcterms:W3CDTF">2026-03-16T10:01:44Z</dcterms:modified>
</cp:coreProperties>
</file>